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55" activeTab="4"/>
  </bookViews>
  <sheets>
    <sheet name="Data1" sheetId="1" r:id="rId1"/>
    <sheet name="Data 2" sheetId="5" r:id="rId2"/>
    <sheet name="Welding Joint" sheetId="2" r:id="rId3"/>
    <sheet name="summary" sheetId="4" r:id="rId4"/>
    <sheet name="summary2" sheetId="6" r:id="rId5"/>
  </sheets>
  <calcPr calcId="144525"/>
</workbook>
</file>

<file path=xl/sharedStrings.xml><?xml version="1.0" encoding="utf-8"?>
<sst xmlns="http://schemas.openxmlformats.org/spreadsheetml/2006/main" count="147">
  <si>
    <t>1.1.Defect List of Inspected Pipe 250-PL-2019-151441С-M1</t>
  </si>
  <si>
    <t>№</t>
  </si>
  <si>
    <t>Number</t>
  </si>
  <si>
    <t>Distance</t>
  </si>
  <si>
    <t>Ref. Weld</t>
  </si>
  <si>
    <t>Defect distance from ref. weld, mm</t>
  </si>
  <si>
    <t>Defect orientation</t>
  </si>
  <si>
    <t>Defect dimensions, mm</t>
  </si>
  <si>
    <t>Defect type</t>
  </si>
  <si>
    <t>Internal/</t>
  </si>
  <si>
    <t>Specified</t>
  </si>
  <si>
    <t>Defect depth %,</t>
  </si>
  <si>
    <t>of defect</t>
  </si>
  <si>
    <t>from section start, mm</t>
  </si>
  <si>
    <t>External</t>
  </si>
  <si>
    <t>thickness, mm</t>
  </si>
  <si>
    <t>d (%) =</t>
  </si>
  <si>
    <t>U/S</t>
  </si>
  <si>
    <t>D/S</t>
  </si>
  <si>
    <t>Rotations</t>
  </si>
  <si>
    <t>Distance from</t>
  </si>
  <si>
    <t>hh:mm</t>
  </si>
  <si>
    <t>Length</t>
  </si>
  <si>
    <t>Width</t>
  </si>
  <si>
    <t>Max depth</t>
  </si>
  <si>
    <r>
      <rPr>
        <b/>
        <i/>
        <sz val="7"/>
        <color theme="1"/>
        <rFont val="Arial"/>
        <charset val="134"/>
      </rPr>
      <t xml:space="preserve">d/t </t>
    </r>
    <r>
      <rPr>
        <b/>
        <i/>
        <sz val="7"/>
        <color theme="1"/>
        <rFont val="Symbol"/>
        <charset val="134"/>
      </rPr>
      <t>´</t>
    </r>
    <r>
      <rPr>
        <b/>
        <i/>
        <sz val="7"/>
        <color theme="1"/>
        <rFont val="Arial"/>
        <charset val="134"/>
      </rPr>
      <t xml:space="preserve"> 100%</t>
    </r>
  </si>
  <si>
    <t>centrepoint</t>
  </si>
  <si>
    <t>Vertex coordinates</t>
  </si>
  <si>
    <t>direction</t>
  </si>
  <si>
    <t>12 o'clock, mm</t>
  </si>
  <si>
    <t>L</t>
  </si>
  <si>
    <t>W</t>
  </si>
  <si>
    <t>d</t>
  </si>
  <si>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</si>
  <si>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</si>
  <si>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</si>
  <si>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</si>
  <si>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</si>
  <si>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</si>
  <si>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</si>
  <si>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</si>
  <si>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</si>
  <si>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</si>
  <si>
    <t>DF-1</t>
  </si>
  <si>
    <t>WJ 3</t>
  </si>
  <si>
    <t>-</t>
  </si>
  <si>
    <t>Anticlockwise</t>
  </si>
  <si>
    <t>CORR</t>
  </si>
  <si>
    <t>DF-2</t>
  </si>
  <si>
    <t>DF-3</t>
  </si>
  <si>
    <t>DF-4</t>
  </si>
  <si>
    <t>Clockwise</t>
  </si>
  <si>
    <t>DF-5</t>
  </si>
  <si>
    <t>DF-6</t>
  </si>
  <si>
    <t>WJ 5</t>
  </si>
  <si>
    <t>DF-7</t>
  </si>
  <si>
    <t>DF-8</t>
  </si>
  <si>
    <t>WJ 6</t>
  </si>
  <si>
    <t>DF-9</t>
  </si>
  <si>
    <t>WJ 7</t>
  </si>
  <si>
    <t>DF-10</t>
  </si>
  <si>
    <t>DF-11</t>
  </si>
  <si>
    <t>DF-12</t>
  </si>
  <si>
    <t>DF-13</t>
  </si>
  <si>
    <t>DF-14</t>
  </si>
  <si>
    <t>DF-15</t>
  </si>
  <si>
    <t>WJ 10</t>
  </si>
  <si>
    <t>DF-16</t>
  </si>
  <si>
    <t>DF-17</t>
  </si>
  <si>
    <t>DF-18</t>
  </si>
  <si>
    <t>DF-19</t>
  </si>
  <si>
    <t>DF-20</t>
  </si>
  <si>
    <t>DF-21</t>
  </si>
  <si>
    <t>DF-22</t>
  </si>
  <si>
    <t>DF-23</t>
  </si>
  <si>
    <t>DF-24</t>
  </si>
  <si>
    <t>WJ 11</t>
  </si>
  <si>
    <t>DF-25</t>
  </si>
  <si>
    <t>WJ 12</t>
  </si>
  <si>
    <t>DF-26</t>
  </si>
  <si>
    <t>DF-27</t>
  </si>
  <si>
    <t>DF-28</t>
  </si>
  <si>
    <t>WJ 14</t>
  </si>
  <si>
    <t>DF-29</t>
  </si>
  <si>
    <t>WJ 15</t>
  </si>
  <si>
    <t>DF-30</t>
  </si>
  <si>
    <t>WJ 16</t>
  </si>
  <si>
    <t>10"-FW-632-1101 Scheme 1</t>
  </si>
  <si>
    <t>1.2.Tracing of Inspected Pipe 250-PL-2019-151441С-M1</t>
  </si>
  <si>
    <t xml:space="preserve">width = </t>
  </si>
  <si>
    <t>Description</t>
  </si>
  <si>
    <t>Distance between Points, mm</t>
  </si>
  <si>
    <t>Distance from Start, mm</t>
  </si>
  <si>
    <t>No</t>
  </si>
  <si>
    <t>Distance between points, mm</t>
  </si>
  <si>
    <t>Distance from the start of structure, mm</t>
  </si>
  <si>
    <t>Start of Inspection, Weld Joint WJ1-1</t>
  </si>
  <si>
    <t>Outlet from V-2030; Flange #1; WJ 1; Start of inspection piping 250-PL-2019-151441C_M1</t>
  </si>
  <si>
    <t>WJ1-2</t>
  </si>
  <si>
    <t>Elbow 90 deg</t>
  </si>
  <si>
    <t>Center of Flange</t>
  </si>
  <si>
    <t>WJ 2</t>
  </si>
  <si>
    <t>WJ1-3</t>
  </si>
  <si>
    <t>Flange #2</t>
  </si>
  <si>
    <t>Center of Elbow, D-45</t>
  </si>
  <si>
    <t>WJ1-4</t>
  </si>
  <si>
    <t>WJ 4</t>
  </si>
  <si>
    <t>WJ1-5</t>
  </si>
  <si>
    <t>Center of Elbow, H-45</t>
  </si>
  <si>
    <t>WJ1-6</t>
  </si>
  <si>
    <t>Support, S-1</t>
  </si>
  <si>
    <t>WJ1-7</t>
  </si>
  <si>
    <t>Center of Valve</t>
  </si>
  <si>
    <t>Support S1</t>
  </si>
  <si>
    <t>WJ1-8</t>
  </si>
  <si>
    <t>250x40 outlet</t>
  </si>
  <si>
    <t>WJ1-9</t>
  </si>
  <si>
    <t>WJ 8</t>
  </si>
  <si>
    <t>Valve PL-2000</t>
  </si>
  <si>
    <t>WJ1-10</t>
  </si>
  <si>
    <t>WJ 9</t>
  </si>
  <si>
    <t>Support, S-2</t>
  </si>
  <si>
    <t>WJ1-11</t>
  </si>
  <si>
    <t>Center of Elbow, U-90</t>
  </si>
  <si>
    <t>WJ1-12</t>
  </si>
  <si>
    <t>Support S2</t>
  </si>
  <si>
    <t>1 850</t>
  </si>
  <si>
    <t>WJ1-13</t>
  </si>
  <si>
    <t>WJ1-14</t>
  </si>
  <si>
    <t>Valve #2</t>
  </si>
  <si>
    <t>Center of Elbow, L90</t>
  </si>
  <si>
    <t>WJ 13</t>
  </si>
  <si>
    <t>WJ1-15</t>
  </si>
  <si>
    <t>Tee #1</t>
  </si>
  <si>
    <t>WJ1-16</t>
  </si>
  <si>
    <t>Center of Tee</t>
  </si>
  <si>
    <t>WJ1-17</t>
  </si>
  <si>
    <t>Tee #2</t>
  </si>
  <si>
    <t>Support, S-3</t>
  </si>
  <si>
    <t>WJ1-18</t>
  </si>
  <si>
    <t>Flange #3</t>
  </si>
  <si>
    <t>WJ 17</t>
  </si>
  <si>
    <t>WJ1-19</t>
  </si>
  <si>
    <t>WJ 18; End of inspection piping 250-PL-2019-151441C_M1; Flange #4; Inlet to V-3010</t>
  </si>
  <si>
    <t>WJ1-20</t>
  </si>
  <si>
    <t>WJ1-21, End of Inspection</t>
  </si>
  <si>
    <t>Defect Vertex coordinates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</si>
</sst>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.00_ ;_ * \-#,##0.00_ ;_ * &quot;-&quot;??_ ;_ @_ "/>
  </numFmts>
  <fonts count="31">
    <font>
      <sz val="11"/>
      <color theme="1"/>
      <name val="Calibri"/>
      <charset val="134"/>
      <scheme val="minor"/>
    </font>
    <font>
      <b/>
      <sz val="14"/>
      <color theme="1"/>
      <name val="Arial"/>
      <charset val="204"/>
    </font>
    <font>
      <b/>
      <i/>
      <sz val="11"/>
      <color theme="1"/>
      <name val="Arial"/>
      <charset val="204"/>
    </font>
    <font>
      <b/>
      <i/>
      <sz val="11"/>
      <color rgb="FF000000"/>
      <name val="Arial"/>
      <charset val="204"/>
    </font>
    <font>
      <b/>
      <i/>
      <sz val="10"/>
      <color rgb="FF000000"/>
      <name val="Arial"/>
      <charset val="134"/>
    </font>
    <font>
      <sz val="11"/>
      <color theme="1"/>
      <name val="Arial"/>
      <charset val="204"/>
    </font>
    <font>
      <sz val="10"/>
      <color rgb="FF000000"/>
      <name val="Arial"/>
      <charset val="134"/>
    </font>
    <font>
      <sz val="11"/>
      <color rgb="FF000000"/>
      <name val="Calibri"/>
      <charset val="134"/>
    </font>
    <font>
      <b/>
      <i/>
      <sz val="7"/>
      <color theme="1"/>
      <name val="Arial"/>
      <charset val="134"/>
    </font>
    <font>
      <b/>
      <i/>
      <sz val="7"/>
      <color rgb="FF000000"/>
      <name val="Arial"/>
      <charset val="134"/>
    </font>
    <font>
      <sz val="7"/>
      <color rgb="FF000000"/>
      <name val="Arial"/>
      <charset val="134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i/>
      <sz val="7"/>
      <color theme="1"/>
      <name val="Symbol"/>
      <charset val="134"/>
    </font>
  </fonts>
  <fills count="39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11" fillId="11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12" borderId="32" applyNumberFormat="0" applyAlignment="0" applyProtection="0">
      <alignment vertical="center"/>
    </xf>
    <xf numFmtId="0" fontId="14" fillId="0" borderId="31" applyNumberFormat="0" applyFill="0" applyAlignment="0" applyProtection="0">
      <alignment vertical="center"/>
    </xf>
    <xf numFmtId="0" fontId="0" fillId="20" borderId="36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18" fillId="0" borderId="34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19" borderId="33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23" fillId="13" borderId="35" applyNumberForma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6" fillId="13" borderId="33" applyNumberFormat="0" applyAlignment="0" applyProtection="0">
      <alignment vertical="center"/>
    </xf>
    <xf numFmtId="0" fontId="28" fillId="0" borderId="38" applyNumberFormat="0" applyFill="0" applyAlignment="0" applyProtection="0">
      <alignment vertical="center"/>
    </xf>
    <xf numFmtId="0" fontId="27" fillId="0" borderId="37" applyNumberFormat="0" applyFill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0" xfId="0" applyFont="1" applyFill="1" applyAlignment="1"/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2" fillId="4" borderId="14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/>
    </xf>
    <xf numFmtId="0" fontId="5" fillId="5" borderId="14" xfId="0" applyFont="1" applyFill="1" applyBorder="1" applyAlignment="1">
      <alignment horizontal="left" vertical="center"/>
    </xf>
    <xf numFmtId="3" fontId="5" fillId="5" borderId="14" xfId="0" applyNumberFormat="1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vertical="center" wrapText="1"/>
    </xf>
    <xf numFmtId="0" fontId="5" fillId="0" borderId="14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left" vertical="center"/>
    </xf>
    <xf numFmtId="3" fontId="5" fillId="0" borderId="14" xfId="0" applyNumberFormat="1" applyFont="1" applyFill="1" applyBorder="1" applyAlignment="1">
      <alignment horizontal="center"/>
    </xf>
    <xf numFmtId="0" fontId="6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6" xfId="0" applyNumberFormat="1" applyFont="1" applyFill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26" xfId="0" applyNumberFormat="1" applyFont="1" applyBorder="1" applyAlignment="1">
      <alignment horizontal="center" vertical="center" wrapText="1"/>
    </xf>
    <xf numFmtId="0" fontId="8" fillId="7" borderId="24" xfId="0" applyFont="1" applyFill="1" applyBorder="1" applyAlignment="1">
      <alignment horizontal="center" wrapText="1"/>
    </xf>
    <xf numFmtId="0" fontId="8" fillId="7" borderId="27" xfId="0" applyFont="1" applyFill="1" applyBorder="1" applyAlignment="1">
      <alignment horizontal="center" wrapText="1"/>
    </xf>
    <xf numFmtId="0" fontId="9" fillId="7" borderId="2" xfId="0" applyFont="1" applyFill="1" applyBorder="1" applyAlignment="1">
      <alignment horizontal="center" wrapText="1"/>
    </xf>
    <xf numFmtId="0" fontId="8" fillId="7" borderId="2" xfId="0" applyFont="1" applyFill="1" applyBorder="1" applyAlignment="1">
      <alignment horizontal="center" wrapText="1"/>
    </xf>
    <xf numFmtId="0" fontId="8" fillId="7" borderId="28" xfId="0" applyFont="1" applyFill="1" applyBorder="1" applyAlignment="1">
      <alignment horizontal="center" wrapText="1"/>
    </xf>
    <xf numFmtId="0" fontId="0" fillId="0" borderId="28" xfId="0" applyFill="1" applyBorder="1" applyAlignment="1"/>
    <xf numFmtId="0" fontId="9" fillId="7" borderId="26" xfId="0" applyFont="1" applyFill="1" applyBorder="1" applyAlignment="1">
      <alignment horizontal="center" wrapText="1"/>
    </xf>
    <xf numFmtId="0" fontId="0" fillId="0" borderId="26" xfId="0" applyFill="1" applyBorder="1" applyAlignment="1"/>
    <xf numFmtId="0" fontId="8" fillId="7" borderId="26" xfId="0" applyFont="1" applyFill="1" applyBorder="1" applyAlignment="1">
      <alignment horizontal="center" wrapText="1"/>
    </xf>
    <xf numFmtId="0" fontId="10" fillId="0" borderId="25" xfId="0" applyFont="1" applyFill="1" applyBorder="1" applyAlignment="1">
      <alignment horizontal="center" wrapText="1"/>
    </xf>
    <xf numFmtId="0" fontId="10" fillId="0" borderId="26" xfId="0" applyFont="1" applyFill="1" applyBorder="1" applyAlignment="1">
      <alignment horizontal="center" wrapText="1"/>
    </xf>
    <xf numFmtId="20" fontId="10" fillId="0" borderId="26" xfId="0" applyNumberFormat="1" applyFont="1" applyFill="1" applyBorder="1" applyAlignment="1">
      <alignment horizontal="center" wrapText="1"/>
    </xf>
    <xf numFmtId="0" fontId="5" fillId="0" borderId="0" xfId="0" applyFont="1" applyFill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0" fillId="0" borderId="0" xfId="0" applyFont="1" applyFill="1" applyAlignment="1">
      <alignment horizontal="center" wrapText="1"/>
    </xf>
    <xf numFmtId="20" fontId="10" fillId="0" borderId="0" xfId="0" applyNumberFormat="1" applyFont="1" applyFill="1" applyAlignment="1">
      <alignment horizontal="center"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AB36"/>
  <sheetViews>
    <sheetView topLeftCell="A14" workbookViewId="0">
      <selection activeCell="U14" sqref="U14"/>
    </sheetView>
  </sheetViews>
  <sheetFormatPr defaultColWidth="9.14285714285714" defaultRowHeight="15"/>
  <cols>
    <col min="19" max="20" width="15.2857142857143" style="21" customWidth="1"/>
    <col min="21" max="28" width="12" style="21" customWidth="1"/>
  </cols>
  <sheetData>
    <row r="1" ht="15.75" spans="2:2">
      <c r="B1" t="s">
        <v>0</v>
      </c>
    </row>
    <row r="2" ht="18.75" spans="2:23">
      <c r="B2" s="47" t="s">
        <v>1</v>
      </c>
      <c r="C2" s="48" t="s">
        <v>2</v>
      </c>
      <c r="D2" s="48" t="s">
        <v>3</v>
      </c>
      <c r="E2" s="49" t="s">
        <v>4</v>
      </c>
      <c r="F2" s="50" t="s">
        <v>5</v>
      </c>
      <c r="G2" s="50"/>
      <c r="H2" s="50" t="s">
        <v>6</v>
      </c>
      <c r="I2" s="50"/>
      <c r="J2" s="50"/>
      <c r="K2" s="50" t="s">
        <v>7</v>
      </c>
      <c r="L2" s="50"/>
      <c r="M2" s="50"/>
      <c r="N2" s="50" t="s">
        <v>8</v>
      </c>
      <c r="O2" s="48" t="s">
        <v>9</v>
      </c>
      <c r="P2" s="48" t="s">
        <v>10</v>
      </c>
      <c r="Q2" s="48" t="s">
        <v>11</v>
      </c>
      <c r="U2" s="59"/>
      <c r="V2" s="59"/>
      <c r="W2" s="59"/>
    </row>
    <row r="3" ht="18.75" spans="2:23">
      <c r="B3" s="47"/>
      <c r="C3" s="51" t="s">
        <v>12</v>
      </c>
      <c r="D3" s="51" t="s">
        <v>13</v>
      </c>
      <c r="E3" s="49"/>
      <c r="F3" s="50"/>
      <c r="G3" s="50"/>
      <c r="H3" s="50"/>
      <c r="I3" s="50"/>
      <c r="J3" s="50"/>
      <c r="K3" s="50"/>
      <c r="L3" s="50"/>
      <c r="M3" s="50"/>
      <c r="N3" s="50"/>
      <c r="O3" s="51" t="s">
        <v>14</v>
      </c>
      <c r="P3" s="51" t="s">
        <v>15</v>
      </c>
      <c r="Q3" s="51" t="s">
        <v>16</v>
      </c>
      <c r="S3" s="59"/>
      <c r="T3" s="59"/>
      <c r="U3" s="59"/>
      <c r="V3" s="59"/>
      <c r="W3" s="59"/>
    </row>
    <row r="4" ht="18.75" spans="2:28">
      <c r="B4" s="47"/>
      <c r="C4" s="52"/>
      <c r="D4" s="52"/>
      <c r="E4" s="49"/>
      <c r="F4" s="53" t="s">
        <v>17</v>
      </c>
      <c r="G4" s="53" t="s">
        <v>18</v>
      </c>
      <c r="H4" s="51" t="s">
        <v>19</v>
      </c>
      <c r="I4" s="51" t="s">
        <v>20</v>
      </c>
      <c r="J4" s="55" t="s">
        <v>21</v>
      </c>
      <c r="K4" s="51" t="s">
        <v>22</v>
      </c>
      <c r="L4" s="51" t="s">
        <v>23</v>
      </c>
      <c r="M4" s="48" t="s">
        <v>24</v>
      </c>
      <c r="N4" s="50"/>
      <c r="O4" s="52"/>
      <c r="P4" s="52"/>
      <c r="Q4" s="51" t="s">
        <v>25</v>
      </c>
      <c r="S4" s="1" t="s">
        <v>26</v>
      </c>
      <c r="T4" s="2"/>
      <c r="U4" s="1" t="s">
        <v>27</v>
      </c>
      <c r="V4" s="3"/>
      <c r="W4" s="3"/>
      <c r="X4" s="3"/>
      <c r="Y4" s="3"/>
      <c r="Z4" s="3"/>
      <c r="AA4" s="3"/>
      <c r="AB4" s="2"/>
    </row>
    <row r="5" ht="18.75" spans="2:28">
      <c r="B5" s="47"/>
      <c r="C5" s="54"/>
      <c r="D5" s="54"/>
      <c r="E5" s="49"/>
      <c r="F5" s="53"/>
      <c r="G5" s="53"/>
      <c r="H5" s="55" t="s">
        <v>28</v>
      </c>
      <c r="I5" s="55" t="s">
        <v>29</v>
      </c>
      <c r="J5" s="55"/>
      <c r="K5" s="55" t="s">
        <v>30</v>
      </c>
      <c r="L5" s="55" t="s">
        <v>31</v>
      </c>
      <c r="M5" s="55" t="s">
        <v>32</v>
      </c>
      <c r="N5" s="50"/>
      <c r="O5" s="54"/>
      <c r="P5" s="54"/>
      <c r="Q5" s="54"/>
      <c r="S5" s="4" t="s">
        <v>33</v>
      </c>
      <c r="T5" s="5" t="s">
        <v>34</v>
      </c>
      <c r="U5" s="6" t="s">
        <v>35</v>
      </c>
      <c r="V5" s="7" t="s">
        <v>36</v>
      </c>
      <c r="W5" s="6" t="s">
        <v>37</v>
      </c>
      <c r="X5" s="8" t="s">
        <v>38</v>
      </c>
      <c r="Y5" s="9" t="s">
        <v>39</v>
      </c>
      <c r="Z5" s="7" t="s">
        <v>40</v>
      </c>
      <c r="AA5" s="6" t="s">
        <v>41</v>
      </c>
      <c r="AB5" s="8" t="s">
        <v>42</v>
      </c>
    </row>
    <row r="6" ht="15.75" spans="2:28">
      <c r="B6" s="56">
        <v>1</v>
      </c>
      <c r="C6" s="57" t="s">
        <v>43</v>
      </c>
      <c r="D6" s="57">
        <v>1090</v>
      </c>
      <c r="E6" s="57" t="s">
        <v>44</v>
      </c>
      <c r="F6" s="57">
        <v>40</v>
      </c>
      <c r="G6" s="57" t="s">
        <v>45</v>
      </c>
      <c r="H6" s="57" t="s">
        <v>46</v>
      </c>
      <c r="I6" s="57">
        <v>254</v>
      </c>
      <c r="J6" s="58">
        <v>0.352083333333333</v>
      </c>
      <c r="K6" s="57">
        <v>50</v>
      </c>
      <c r="L6" s="57">
        <v>200</v>
      </c>
      <c r="M6" s="57">
        <v>3</v>
      </c>
      <c r="N6" s="57" t="s">
        <v>47</v>
      </c>
      <c r="O6" s="57" t="s">
        <v>14</v>
      </c>
      <c r="P6" s="57">
        <v>28.56</v>
      </c>
      <c r="Q6" s="57">
        <v>10.5</v>
      </c>
      <c r="S6" s="11">
        <f>D6</f>
        <v>1090</v>
      </c>
      <c r="T6" s="12">
        <f>IF(H6="Anticlockwise",I6,-I6)</f>
        <v>254</v>
      </c>
      <c r="U6" s="12">
        <f>S6-(K6/2)</f>
        <v>1065</v>
      </c>
      <c r="V6" s="12">
        <f>T6-(L6/2)</f>
        <v>154</v>
      </c>
      <c r="W6" s="12">
        <f>U6</f>
        <v>1065</v>
      </c>
      <c r="X6" s="12">
        <f>T6+(L6/2)</f>
        <v>354</v>
      </c>
      <c r="Y6" s="12">
        <f>S6+(K6/2)</f>
        <v>1115</v>
      </c>
      <c r="Z6" s="12">
        <f>X6</f>
        <v>354</v>
      </c>
      <c r="AA6" s="12">
        <f>Y6</f>
        <v>1115</v>
      </c>
      <c r="AB6" s="22">
        <f>V6</f>
        <v>154</v>
      </c>
    </row>
    <row r="7" ht="15.75" spans="2:28">
      <c r="B7" s="56">
        <v>2</v>
      </c>
      <c r="C7" s="57" t="s">
        <v>48</v>
      </c>
      <c r="D7" s="57">
        <v>1100</v>
      </c>
      <c r="E7" s="57" t="s">
        <v>44</v>
      </c>
      <c r="F7" s="57">
        <v>30</v>
      </c>
      <c r="G7" s="57" t="s">
        <v>45</v>
      </c>
      <c r="H7" s="57" t="s">
        <v>46</v>
      </c>
      <c r="I7" s="57">
        <v>10</v>
      </c>
      <c r="J7" s="58">
        <v>0.494444444444444</v>
      </c>
      <c r="K7" s="57">
        <v>25</v>
      </c>
      <c r="L7" s="57">
        <v>140</v>
      </c>
      <c r="M7" s="57">
        <v>3</v>
      </c>
      <c r="N7" s="57" t="s">
        <v>47</v>
      </c>
      <c r="O7" s="57" t="s">
        <v>14</v>
      </c>
      <c r="P7" s="57">
        <v>28.56</v>
      </c>
      <c r="Q7" s="57">
        <v>10.5</v>
      </c>
      <c r="S7" s="13">
        <f t="shared" ref="S7:S35" si="0">D7</f>
        <v>1100</v>
      </c>
      <c r="T7" s="14">
        <f t="shared" ref="T7:T35" si="1">IF(H7="Anticlockwise",I7,-I7)</f>
        <v>10</v>
      </c>
      <c r="U7" s="14">
        <f t="shared" ref="U7:U35" si="2">S7-(K7/2)</f>
        <v>1087.5</v>
      </c>
      <c r="V7" s="14">
        <f t="shared" ref="V7:V35" si="3">T7-(L7/2)</f>
        <v>-60</v>
      </c>
      <c r="W7" s="14">
        <f t="shared" ref="W7:W35" si="4">U7</f>
        <v>1087.5</v>
      </c>
      <c r="X7" s="14">
        <f t="shared" ref="X7:X35" si="5">T7+(L7/2)</f>
        <v>80</v>
      </c>
      <c r="Y7" s="14">
        <f t="shared" ref="Y7:Y35" si="6">S7+(K7/2)</f>
        <v>1112.5</v>
      </c>
      <c r="Z7" s="14">
        <f t="shared" ref="Z7:Z35" si="7">X7</f>
        <v>80</v>
      </c>
      <c r="AA7" s="14">
        <f t="shared" ref="AA7:AA35" si="8">Y7</f>
        <v>1112.5</v>
      </c>
      <c r="AB7" s="23">
        <f t="shared" ref="AB7:AB35" si="9">V7</f>
        <v>-60</v>
      </c>
    </row>
    <row r="8" ht="15.75" spans="2:28">
      <c r="B8" s="56">
        <v>3</v>
      </c>
      <c r="C8" s="57" t="s">
        <v>49</v>
      </c>
      <c r="D8" s="57">
        <v>1160</v>
      </c>
      <c r="E8" s="57" t="s">
        <v>44</v>
      </c>
      <c r="F8" s="57" t="s">
        <v>45</v>
      </c>
      <c r="G8" s="57">
        <v>30</v>
      </c>
      <c r="H8" s="57" t="s">
        <v>46</v>
      </c>
      <c r="I8" s="57">
        <v>411</v>
      </c>
      <c r="J8" s="58">
        <v>0.261111111111111</v>
      </c>
      <c r="K8" s="57">
        <v>25</v>
      </c>
      <c r="L8" s="57">
        <v>135</v>
      </c>
      <c r="M8" s="57">
        <v>3.2</v>
      </c>
      <c r="N8" s="57" t="s">
        <v>47</v>
      </c>
      <c r="O8" s="57" t="s">
        <v>14</v>
      </c>
      <c r="P8" s="57">
        <v>28.56</v>
      </c>
      <c r="Q8" s="57">
        <v>11.2</v>
      </c>
      <c r="S8" s="13">
        <f t="shared" si="0"/>
        <v>1160</v>
      </c>
      <c r="T8" s="14">
        <f t="shared" si="1"/>
        <v>411</v>
      </c>
      <c r="U8" s="14">
        <f t="shared" si="2"/>
        <v>1147.5</v>
      </c>
      <c r="V8" s="14">
        <f t="shared" si="3"/>
        <v>343.5</v>
      </c>
      <c r="W8" s="14">
        <f t="shared" si="4"/>
        <v>1147.5</v>
      </c>
      <c r="X8" s="14">
        <f t="shared" si="5"/>
        <v>478.5</v>
      </c>
      <c r="Y8" s="14">
        <f t="shared" si="6"/>
        <v>1172.5</v>
      </c>
      <c r="Z8" s="14">
        <f t="shared" si="7"/>
        <v>478.5</v>
      </c>
      <c r="AA8" s="14">
        <f t="shared" si="8"/>
        <v>1172.5</v>
      </c>
      <c r="AB8" s="23">
        <f t="shared" si="9"/>
        <v>343.5</v>
      </c>
    </row>
    <row r="9" ht="15.75" spans="2:28">
      <c r="B9" s="56">
        <v>4</v>
      </c>
      <c r="C9" s="57" t="s">
        <v>50</v>
      </c>
      <c r="D9" s="57">
        <v>1165</v>
      </c>
      <c r="E9" s="57" t="s">
        <v>44</v>
      </c>
      <c r="F9" s="57" t="s">
        <v>45</v>
      </c>
      <c r="G9" s="57">
        <v>35</v>
      </c>
      <c r="H9" s="57" t="s">
        <v>51</v>
      </c>
      <c r="I9" s="57">
        <v>270</v>
      </c>
      <c r="J9" s="58">
        <v>0.156944444444444</v>
      </c>
      <c r="K9" s="57">
        <v>40</v>
      </c>
      <c r="L9" s="57">
        <v>125</v>
      </c>
      <c r="M9" s="57">
        <v>2.5</v>
      </c>
      <c r="N9" s="57" t="s">
        <v>47</v>
      </c>
      <c r="O9" s="57" t="s">
        <v>14</v>
      </c>
      <c r="P9" s="57">
        <v>28.56</v>
      </c>
      <c r="Q9" s="57">
        <v>8.8</v>
      </c>
      <c r="S9" s="13">
        <f t="shared" si="0"/>
        <v>1165</v>
      </c>
      <c r="T9" s="14">
        <f t="shared" si="1"/>
        <v>-270</v>
      </c>
      <c r="U9" s="14">
        <f t="shared" si="2"/>
        <v>1145</v>
      </c>
      <c r="V9" s="14">
        <f t="shared" si="3"/>
        <v>-332.5</v>
      </c>
      <c r="W9" s="14">
        <f t="shared" si="4"/>
        <v>1145</v>
      </c>
      <c r="X9" s="14">
        <f t="shared" si="5"/>
        <v>-207.5</v>
      </c>
      <c r="Y9" s="14">
        <f t="shared" si="6"/>
        <v>1185</v>
      </c>
      <c r="Z9" s="14">
        <f t="shared" si="7"/>
        <v>-207.5</v>
      </c>
      <c r="AA9" s="14">
        <f t="shared" si="8"/>
        <v>1185</v>
      </c>
      <c r="AB9" s="23">
        <f t="shared" si="9"/>
        <v>-332.5</v>
      </c>
    </row>
    <row r="10" ht="15.75" spans="2:28">
      <c r="B10" s="56">
        <v>5</v>
      </c>
      <c r="C10" s="57" t="s">
        <v>52</v>
      </c>
      <c r="D10" s="57">
        <v>1210</v>
      </c>
      <c r="E10" s="57" t="s">
        <v>44</v>
      </c>
      <c r="F10" s="57" t="s">
        <v>45</v>
      </c>
      <c r="G10" s="57">
        <v>80</v>
      </c>
      <c r="H10" s="57" t="s">
        <v>46</v>
      </c>
      <c r="I10" s="57">
        <v>114</v>
      </c>
      <c r="J10" s="58">
        <v>0.433333333333333</v>
      </c>
      <c r="K10" s="57">
        <v>120</v>
      </c>
      <c r="L10" s="57">
        <v>400</v>
      </c>
      <c r="M10" s="57">
        <v>3.5</v>
      </c>
      <c r="N10" s="57" t="s">
        <v>47</v>
      </c>
      <c r="O10" s="57" t="s">
        <v>14</v>
      </c>
      <c r="P10" s="57">
        <v>28.56</v>
      </c>
      <c r="Q10" s="57">
        <v>12.3</v>
      </c>
      <c r="S10" s="13">
        <f t="shared" si="0"/>
        <v>1210</v>
      </c>
      <c r="T10" s="14">
        <f t="shared" si="1"/>
        <v>114</v>
      </c>
      <c r="U10" s="14">
        <f t="shared" si="2"/>
        <v>1150</v>
      </c>
      <c r="V10" s="14">
        <f t="shared" si="3"/>
        <v>-86</v>
      </c>
      <c r="W10" s="14">
        <f t="shared" si="4"/>
        <v>1150</v>
      </c>
      <c r="X10" s="14">
        <f t="shared" si="5"/>
        <v>314</v>
      </c>
      <c r="Y10" s="14">
        <f t="shared" si="6"/>
        <v>1270</v>
      </c>
      <c r="Z10" s="14">
        <f t="shared" si="7"/>
        <v>314</v>
      </c>
      <c r="AA10" s="14">
        <f t="shared" si="8"/>
        <v>1270</v>
      </c>
      <c r="AB10" s="23">
        <f t="shared" si="9"/>
        <v>-86</v>
      </c>
    </row>
    <row r="11" ht="15.75" spans="2:28">
      <c r="B11" s="56">
        <v>6</v>
      </c>
      <c r="C11" s="57" t="s">
        <v>53</v>
      </c>
      <c r="D11" s="57">
        <v>2175</v>
      </c>
      <c r="E11" s="57" t="s">
        <v>54</v>
      </c>
      <c r="F11" s="57">
        <v>55</v>
      </c>
      <c r="G11" s="57" t="s">
        <v>45</v>
      </c>
      <c r="H11" s="57" t="s">
        <v>51</v>
      </c>
      <c r="I11" s="57">
        <v>0</v>
      </c>
      <c r="J11" s="58">
        <v>0</v>
      </c>
      <c r="K11" s="57">
        <v>95</v>
      </c>
      <c r="L11" s="57">
        <v>858</v>
      </c>
      <c r="M11" s="57">
        <v>4</v>
      </c>
      <c r="N11" s="57" t="s">
        <v>47</v>
      </c>
      <c r="O11" s="57" t="s">
        <v>14</v>
      </c>
      <c r="P11" s="57">
        <v>28.56</v>
      </c>
      <c r="Q11" s="57">
        <v>14</v>
      </c>
      <c r="S11" s="13">
        <f t="shared" si="0"/>
        <v>2175</v>
      </c>
      <c r="T11" s="14">
        <f t="shared" si="1"/>
        <v>0</v>
      </c>
      <c r="U11" s="14">
        <f t="shared" si="2"/>
        <v>2127.5</v>
      </c>
      <c r="V11" s="14">
        <f t="shared" si="3"/>
        <v>-429</v>
      </c>
      <c r="W11" s="14">
        <f t="shared" si="4"/>
        <v>2127.5</v>
      </c>
      <c r="X11" s="14">
        <f t="shared" si="5"/>
        <v>429</v>
      </c>
      <c r="Y11" s="14">
        <f t="shared" si="6"/>
        <v>2222.5</v>
      </c>
      <c r="Z11" s="14">
        <f t="shared" si="7"/>
        <v>429</v>
      </c>
      <c r="AA11" s="14">
        <f t="shared" si="8"/>
        <v>2222.5</v>
      </c>
      <c r="AB11" s="23">
        <f t="shared" si="9"/>
        <v>-429</v>
      </c>
    </row>
    <row r="12" ht="15.75" spans="2:28">
      <c r="B12" s="56">
        <v>7</v>
      </c>
      <c r="C12" s="57" t="s">
        <v>55</v>
      </c>
      <c r="D12" s="57">
        <v>2255</v>
      </c>
      <c r="E12" s="57" t="s">
        <v>54</v>
      </c>
      <c r="F12" s="57" t="s">
        <v>45</v>
      </c>
      <c r="G12" s="57">
        <v>25</v>
      </c>
      <c r="H12" s="57" t="s">
        <v>51</v>
      </c>
      <c r="I12" s="57">
        <v>0</v>
      </c>
      <c r="J12" s="58">
        <v>0</v>
      </c>
      <c r="K12" s="57">
        <v>10</v>
      </c>
      <c r="L12" s="57">
        <v>858</v>
      </c>
      <c r="M12" s="57">
        <v>1</v>
      </c>
      <c r="N12" s="57" t="s">
        <v>47</v>
      </c>
      <c r="O12" s="57" t="s">
        <v>14</v>
      </c>
      <c r="P12" s="57">
        <v>28.56</v>
      </c>
      <c r="Q12" s="57">
        <v>3.5</v>
      </c>
      <c r="S12" s="13">
        <f t="shared" si="0"/>
        <v>2255</v>
      </c>
      <c r="T12" s="14">
        <f t="shared" si="1"/>
        <v>0</v>
      </c>
      <c r="U12" s="14">
        <f t="shared" si="2"/>
        <v>2250</v>
      </c>
      <c r="V12" s="14">
        <f t="shared" si="3"/>
        <v>-429</v>
      </c>
      <c r="W12" s="14">
        <f t="shared" si="4"/>
        <v>2250</v>
      </c>
      <c r="X12" s="14">
        <f t="shared" si="5"/>
        <v>429</v>
      </c>
      <c r="Y12" s="14">
        <f t="shared" si="6"/>
        <v>2260</v>
      </c>
      <c r="Z12" s="14">
        <f t="shared" si="7"/>
        <v>429</v>
      </c>
      <c r="AA12" s="14">
        <f t="shared" si="8"/>
        <v>2260</v>
      </c>
      <c r="AB12" s="23">
        <f t="shared" si="9"/>
        <v>-429</v>
      </c>
    </row>
    <row r="13" ht="15.75" spans="2:28">
      <c r="B13" s="56">
        <v>8</v>
      </c>
      <c r="C13" s="57" t="s">
        <v>56</v>
      </c>
      <c r="D13" s="57">
        <v>2840</v>
      </c>
      <c r="E13" s="57" t="s">
        <v>57</v>
      </c>
      <c r="F13" s="57" t="s">
        <v>45</v>
      </c>
      <c r="G13" s="57">
        <v>160</v>
      </c>
      <c r="H13" s="57" t="s">
        <v>51</v>
      </c>
      <c r="I13" s="57">
        <v>0</v>
      </c>
      <c r="J13" s="58">
        <v>0</v>
      </c>
      <c r="K13" s="57">
        <v>150</v>
      </c>
      <c r="L13" s="57">
        <v>45</v>
      </c>
      <c r="M13" s="57">
        <v>1.5</v>
      </c>
      <c r="N13" s="57" t="s">
        <v>47</v>
      </c>
      <c r="O13" s="57" t="s">
        <v>14</v>
      </c>
      <c r="P13" s="57">
        <v>28.56</v>
      </c>
      <c r="Q13" s="57">
        <v>5.3</v>
      </c>
      <c r="S13" s="13">
        <f t="shared" si="0"/>
        <v>2840</v>
      </c>
      <c r="T13" s="14">
        <f t="shared" si="1"/>
        <v>0</v>
      </c>
      <c r="U13" s="14">
        <f t="shared" si="2"/>
        <v>2765</v>
      </c>
      <c r="V13" s="14">
        <f t="shared" si="3"/>
        <v>-22.5</v>
      </c>
      <c r="W13" s="14">
        <f t="shared" si="4"/>
        <v>2765</v>
      </c>
      <c r="X13" s="14">
        <f t="shared" si="5"/>
        <v>22.5</v>
      </c>
      <c r="Y13" s="14">
        <f t="shared" si="6"/>
        <v>2915</v>
      </c>
      <c r="Z13" s="14">
        <f t="shared" si="7"/>
        <v>22.5</v>
      </c>
      <c r="AA13" s="14">
        <f t="shared" si="8"/>
        <v>2915</v>
      </c>
      <c r="AB13" s="23">
        <f t="shared" si="9"/>
        <v>-22.5</v>
      </c>
    </row>
    <row r="14" ht="15.75" spans="2:28">
      <c r="B14" s="56">
        <v>9</v>
      </c>
      <c r="C14" s="57" t="s">
        <v>58</v>
      </c>
      <c r="D14" s="57">
        <v>3185</v>
      </c>
      <c r="E14" s="57" t="s">
        <v>59</v>
      </c>
      <c r="F14" s="57">
        <v>85</v>
      </c>
      <c r="G14" s="57" t="s">
        <v>45</v>
      </c>
      <c r="H14" s="57" t="s">
        <v>51</v>
      </c>
      <c r="I14" s="57">
        <v>0</v>
      </c>
      <c r="J14" s="58">
        <v>0</v>
      </c>
      <c r="K14" s="57">
        <v>65</v>
      </c>
      <c r="L14" s="57">
        <v>858</v>
      </c>
      <c r="M14" s="57">
        <v>3.5</v>
      </c>
      <c r="N14" s="57" t="s">
        <v>47</v>
      </c>
      <c r="O14" s="57" t="s">
        <v>14</v>
      </c>
      <c r="P14" s="57">
        <v>28.56</v>
      </c>
      <c r="Q14" s="57">
        <v>12.3</v>
      </c>
      <c r="S14" s="13">
        <f t="shared" si="0"/>
        <v>3185</v>
      </c>
      <c r="T14" s="14">
        <f t="shared" si="1"/>
        <v>0</v>
      </c>
      <c r="U14" s="14">
        <f t="shared" si="2"/>
        <v>3152.5</v>
      </c>
      <c r="V14" s="14">
        <f t="shared" si="3"/>
        <v>-429</v>
      </c>
      <c r="W14" s="14">
        <f t="shared" si="4"/>
        <v>3152.5</v>
      </c>
      <c r="X14" s="14">
        <f t="shared" si="5"/>
        <v>429</v>
      </c>
      <c r="Y14" s="14">
        <f t="shared" si="6"/>
        <v>3217.5</v>
      </c>
      <c r="Z14" s="14">
        <f t="shared" si="7"/>
        <v>429</v>
      </c>
      <c r="AA14" s="14">
        <f t="shared" si="8"/>
        <v>3217.5</v>
      </c>
      <c r="AB14" s="23">
        <f t="shared" si="9"/>
        <v>-429</v>
      </c>
    </row>
    <row r="15" ht="15.75" spans="2:28">
      <c r="B15" s="56">
        <v>10</v>
      </c>
      <c r="C15" s="57" t="s">
        <v>60</v>
      </c>
      <c r="D15" s="57">
        <v>3295</v>
      </c>
      <c r="E15" s="57" t="s">
        <v>59</v>
      </c>
      <c r="F15" s="57" t="s">
        <v>45</v>
      </c>
      <c r="G15" s="57">
        <v>25</v>
      </c>
      <c r="H15" s="57" t="s">
        <v>51</v>
      </c>
      <c r="I15" s="57">
        <v>429</v>
      </c>
      <c r="J15" s="58">
        <v>0.25</v>
      </c>
      <c r="K15" s="57">
        <v>10</v>
      </c>
      <c r="L15" s="57">
        <v>110</v>
      </c>
      <c r="M15" s="57">
        <v>1.5</v>
      </c>
      <c r="N15" s="57" t="s">
        <v>47</v>
      </c>
      <c r="O15" s="57" t="s">
        <v>14</v>
      </c>
      <c r="P15" s="57">
        <v>28.56</v>
      </c>
      <c r="Q15" s="57">
        <v>5.3</v>
      </c>
      <c r="S15" s="13">
        <f t="shared" si="0"/>
        <v>3295</v>
      </c>
      <c r="T15" s="14">
        <f t="shared" si="1"/>
        <v>-429</v>
      </c>
      <c r="U15" s="14">
        <f t="shared" si="2"/>
        <v>3290</v>
      </c>
      <c r="V15" s="14">
        <f t="shared" si="3"/>
        <v>-484</v>
      </c>
      <c r="W15" s="14">
        <f t="shared" si="4"/>
        <v>3290</v>
      </c>
      <c r="X15" s="14">
        <f t="shared" si="5"/>
        <v>-374</v>
      </c>
      <c r="Y15" s="14">
        <f t="shared" si="6"/>
        <v>3300</v>
      </c>
      <c r="Z15" s="14">
        <f t="shared" si="7"/>
        <v>-374</v>
      </c>
      <c r="AA15" s="14">
        <f t="shared" si="8"/>
        <v>3300</v>
      </c>
      <c r="AB15" s="23">
        <f t="shared" si="9"/>
        <v>-484</v>
      </c>
    </row>
    <row r="16" ht="15.75" spans="2:28">
      <c r="B16" s="56">
        <v>11</v>
      </c>
      <c r="C16" s="57" t="s">
        <v>61</v>
      </c>
      <c r="D16" s="57">
        <v>3300</v>
      </c>
      <c r="E16" s="57" t="s">
        <v>59</v>
      </c>
      <c r="F16" s="57" t="s">
        <v>45</v>
      </c>
      <c r="G16" s="57">
        <v>30</v>
      </c>
      <c r="H16" s="57" t="s">
        <v>51</v>
      </c>
      <c r="I16" s="57">
        <v>80</v>
      </c>
      <c r="J16" s="58">
        <v>0.0465277777777778</v>
      </c>
      <c r="K16" s="57">
        <v>30</v>
      </c>
      <c r="L16" s="57">
        <v>220</v>
      </c>
      <c r="M16" s="57">
        <v>2.5</v>
      </c>
      <c r="N16" s="57" t="s">
        <v>47</v>
      </c>
      <c r="O16" s="57" t="s">
        <v>14</v>
      </c>
      <c r="P16" s="57">
        <v>28.56</v>
      </c>
      <c r="Q16" s="57">
        <v>8.8</v>
      </c>
      <c r="S16" s="13">
        <f t="shared" si="0"/>
        <v>3300</v>
      </c>
      <c r="T16" s="14">
        <f t="shared" si="1"/>
        <v>-80</v>
      </c>
      <c r="U16" s="14">
        <f t="shared" si="2"/>
        <v>3285</v>
      </c>
      <c r="V16" s="14">
        <f t="shared" si="3"/>
        <v>-190</v>
      </c>
      <c r="W16" s="14">
        <f t="shared" si="4"/>
        <v>3285</v>
      </c>
      <c r="X16" s="14">
        <f t="shared" si="5"/>
        <v>30</v>
      </c>
      <c r="Y16" s="14">
        <f t="shared" si="6"/>
        <v>3315</v>
      </c>
      <c r="Z16" s="14">
        <f t="shared" si="7"/>
        <v>30</v>
      </c>
      <c r="AA16" s="14">
        <f t="shared" si="8"/>
        <v>3315</v>
      </c>
      <c r="AB16" s="23">
        <f t="shared" si="9"/>
        <v>-190</v>
      </c>
    </row>
    <row r="17" ht="15.75" spans="2:28">
      <c r="B17" s="56">
        <v>12</v>
      </c>
      <c r="C17" s="57" t="s">
        <v>62</v>
      </c>
      <c r="D17" s="57">
        <v>3300</v>
      </c>
      <c r="E17" s="57" t="s">
        <v>59</v>
      </c>
      <c r="F17" s="57" t="s">
        <v>45</v>
      </c>
      <c r="G17" s="57">
        <v>30</v>
      </c>
      <c r="H17" s="57" t="s">
        <v>46</v>
      </c>
      <c r="I17" s="57">
        <v>214</v>
      </c>
      <c r="J17" s="58">
        <v>0.375</v>
      </c>
      <c r="K17" s="57">
        <v>25</v>
      </c>
      <c r="L17" s="57">
        <v>100</v>
      </c>
      <c r="M17" s="57">
        <v>1.5</v>
      </c>
      <c r="N17" s="57" t="s">
        <v>47</v>
      </c>
      <c r="O17" s="57" t="s">
        <v>14</v>
      </c>
      <c r="P17" s="57">
        <v>28.56</v>
      </c>
      <c r="Q17" s="57">
        <v>5.3</v>
      </c>
      <c r="S17" s="13">
        <f t="shared" si="0"/>
        <v>3300</v>
      </c>
      <c r="T17" s="14">
        <f t="shared" si="1"/>
        <v>214</v>
      </c>
      <c r="U17" s="14">
        <f t="shared" si="2"/>
        <v>3287.5</v>
      </c>
      <c r="V17" s="14">
        <f t="shared" si="3"/>
        <v>164</v>
      </c>
      <c r="W17" s="14">
        <f t="shared" si="4"/>
        <v>3287.5</v>
      </c>
      <c r="X17" s="14">
        <f t="shared" si="5"/>
        <v>264</v>
      </c>
      <c r="Y17" s="14">
        <f t="shared" si="6"/>
        <v>3312.5</v>
      </c>
      <c r="Z17" s="14">
        <f t="shared" si="7"/>
        <v>264</v>
      </c>
      <c r="AA17" s="14">
        <f t="shared" si="8"/>
        <v>3312.5</v>
      </c>
      <c r="AB17" s="23">
        <f t="shared" si="9"/>
        <v>164</v>
      </c>
    </row>
    <row r="18" ht="15.75" spans="2:28">
      <c r="B18" s="56">
        <v>13</v>
      </c>
      <c r="C18" s="57" t="s">
        <v>63</v>
      </c>
      <c r="D18" s="57">
        <v>3370</v>
      </c>
      <c r="E18" s="57" t="s">
        <v>59</v>
      </c>
      <c r="F18" s="57" t="s">
        <v>45</v>
      </c>
      <c r="G18" s="57">
        <v>100</v>
      </c>
      <c r="H18" s="57" t="s">
        <v>46</v>
      </c>
      <c r="I18" s="57">
        <v>214</v>
      </c>
      <c r="J18" s="58">
        <v>0.375</v>
      </c>
      <c r="K18" s="57">
        <v>30</v>
      </c>
      <c r="L18" s="57">
        <v>30</v>
      </c>
      <c r="M18" s="57">
        <v>2.5</v>
      </c>
      <c r="N18" s="57" t="s">
        <v>47</v>
      </c>
      <c r="O18" s="57" t="s">
        <v>14</v>
      </c>
      <c r="P18" s="57">
        <v>28.56</v>
      </c>
      <c r="Q18" s="57">
        <v>8.8</v>
      </c>
      <c r="S18" s="13">
        <f t="shared" si="0"/>
        <v>3370</v>
      </c>
      <c r="T18" s="14">
        <f t="shared" si="1"/>
        <v>214</v>
      </c>
      <c r="U18" s="14">
        <f t="shared" si="2"/>
        <v>3355</v>
      </c>
      <c r="V18" s="14">
        <f t="shared" si="3"/>
        <v>199</v>
      </c>
      <c r="W18" s="14">
        <f t="shared" si="4"/>
        <v>3355</v>
      </c>
      <c r="X18" s="14">
        <f t="shared" si="5"/>
        <v>229</v>
      </c>
      <c r="Y18" s="14">
        <f t="shared" si="6"/>
        <v>3385</v>
      </c>
      <c r="Z18" s="14">
        <f t="shared" si="7"/>
        <v>229</v>
      </c>
      <c r="AA18" s="14">
        <f t="shared" si="8"/>
        <v>3385</v>
      </c>
      <c r="AB18" s="23">
        <f t="shared" si="9"/>
        <v>199</v>
      </c>
    </row>
    <row r="19" ht="15.75" spans="2:28">
      <c r="B19" s="56">
        <v>14</v>
      </c>
      <c r="C19" s="57" t="s">
        <v>64</v>
      </c>
      <c r="D19" s="57">
        <v>4020</v>
      </c>
      <c r="E19" s="57" t="s">
        <v>59</v>
      </c>
      <c r="F19" s="57" t="s">
        <v>45</v>
      </c>
      <c r="G19" s="57">
        <v>750</v>
      </c>
      <c r="H19" s="57" t="s">
        <v>51</v>
      </c>
      <c r="I19" s="57">
        <v>429</v>
      </c>
      <c r="J19" s="58">
        <v>0.25</v>
      </c>
      <c r="K19" s="57">
        <v>560</v>
      </c>
      <c r="L19" s="57">
        <v>435</v>
      </c>
      <c r="M19" s="57">
        <v>3</v>
      </c>
      <c r="N19" s="57" t="s">
        <v>47</v>
      </c>
      <c r="O19" s="57" t="s">
        <v>14</v>
      </c>
      <c r="P19" s="57">
        <v>28.56</v>
      </c>
      <c r="Q19" s="57">
        <v>10.5</v>
      </c>
      <c r="S19" s="13">
        <f t="shared" si="0"/>
        <v>4020</v>
      </c>
      <c r="T19" s="14">
        <f t="shared" si="1"/>
        <v>-429</v>
      </c>
      <c r="U19" s="14">
        <f t="shared" si="2"/>
        <v>3740</v>
      </c>
      <c r="V19" s="14">
        <f t="shared" si="3"/>
        <v>-646.5</v>
      </c>
      <c r="W19" s="14">
        <f t="shared" si="4"/>
        <v>3740</v>
      </c>
      <c r="X19" s="14">
        <f t="shared" si="5"/>
        <v>-211.5</v>
      </c>
      <c r="Y19" s="14">
        <f t="shared" si="6"/>
        <v>4300</v>
      </c>
      <c r="Z19" s="14">
        <f t="shared" si="7"/>
        <v>-211.5</v>
      </c>
      <c r="AA19" s="14">
        <f t="shared" si="8"/>
        <v>4300</v>
      </c>
      <c r="AB19" s="23">
        <f t="shared" si="9"/>
        <v>-646.5</v>
      </c>
    </row>
    <row r="20" ht="15.75" spans="2:28">
      <c r="B20" s="56">
        <v>15</v>
      </c>
      <c r="C20" s="57" t="s">
        <v>65</v>
      </c>
      <c r="D20" s="57">
        <v>6775</v>
      </c>
      <c r="E20" s="57" t="s">
        <v>66</v>
      </c>
      <c r="F20" s="57">
        <v>45</v>
      </c>
      <c r="G20" s="57" t="s">
        <v>45</v>
      </c>
      <c r="H20" s="57" t="s">
        <v>46</v>
      </c>
      <c r="I20" s="57">
        <v>20</v>
      </c>
      <c r="J20" s="58">
        <v>0.488888888888889</v>
      </c>
      <c r="K20" s="57">
        <v>45</v>
      </c>
      <c r="L20" s="57">
        <v>240</v>
      </c>
      <c r="M20" s="57">
        <v>2.5</v>
      </c>
      <c r="N20" s="57" t="s">
        <v>47</v>
      </c>
      <c r="O20" s="57" t="s">
        <v>14</v>
      </c>
      <c r="P20" s="57">
        <v>28.56</v>
      </c>
      <c r="Q20" s="57">
        <v>8.8</v>
      </c>
      <c r="S20" s="13">
        <f t="shared" si="0"/>
        <v>6775</v>
      </c>
      <c r="T20" s="14">
        <f t="shared" si="1"/>
        <v>20</v>
      </c>
      <c r="U20" s="14">
        <f t="shared" si="2"/>
        <v>6752.5</v>
      </c>
      <c r="V20" s="14">
        <f t="shared" si="3"/>
        <v>-100</v>
      </c>
      <c r="W20" s="14">
        <f t="shared" si="4"/>
        <v>6752.5</v>
      </c>
      <c r="X20" s="14">
        <f t="shared" si="5"/>
        <v>140</v>
      </c>
      <c r="Y20" s="14">
        <f t="shared" si="6"/>
        <v>6797.5</v>
      </c>
      <c r="Z20" s="14">
        <f t="shared" si="7"/>
        <v>140</v>
      </c>
      <c r="AA20" s="14">
        <f t="shared" si="8"/>
        <v>6797.5</v>
      </c>
      <c r="AB20" s="23">
        <f t="shared" si="9"/>
        <v>-100</v>
      </c>
    </row>
    <row r="21" ht="15.75" spans="2:28">
      <c r="B21" s="56">
        <v>16</v>
      </c>
      <c r="C21" s="57" t="s">
        <v>67</v>
      </c>
      <c r="D21" s="57">
        <v>6790</v>
      </c>
      <c r="E21" s="57" t="s">
        <v>66</v>
      </c>
      <c r="F21" s="57">
        <v>30</v>
      </c>
      <c r="G21" s="57" t="s">
        <v>45</v>
      </c>
      <c r="H21" s="57" t="s">
        <v>46</v>
      </c>
      <c r="I21" s="57">
        <v>399</v>
      </c>
      <c r="J21" s="58">
        <v>0.268055555555556</v>
      </c>
      <c r="K21" s="57">
        <v>30</v>
      </c>
      <c r="L21" s="57">
        <v>25</v>
      </c>
      <c r="M21" s="57">
        <v>1.5</v>
      </c>
      <c r="N21" s="57" t="s">
        <v>47</v>
      </c>
      <c r="O21" s="57" t="s">
        <v>14</v>
      </c>
      <c r="P21" s="57">
        <v>28.56</v>
      </c>
      <c r="Q21" s="57">
        <v>5.3</v>
      </c>
      <c r="S21" s="13">
        <f t="shared" si="0"/>
        <v>6790</v>
      </c>
      <c r="T21" s="14">
        <f t="shared" si="1"/>
        <v>399</v>
      </c>
      <c r="U21" s="14">
        <f t="shared" si="2"/>
        <v>6775</v>
      </c>
      <c r="V21" s="14">
        <f t="shared" si="3"/>
        <v>386.5</v>
      </c>
      <c r="W21" s="14">
        <f t="shared" si="4"/>
        <v>6775</v>
      </c>
      <c r="X21" s="14">
        <f t="shared" si="5"/>
        <v>411.5</v>
      </c>
      <c r="Y21" s="14">
        <f t="shared" si="6"/>
        <v>6805</v>
      </c>
      <c r="Z21" s="14">
        <f t="shared" si="7"/>
        <v>411.5</v>
      </c>
      <c r="AA21" s="14">
        <f t="shared" si="8"/>
        <v>6805</v>
      </c>
      <c r="AB21" s="23">
        <f t="shared" si="9"/>
        <v>386.5</v>
      </c>
    </row>
    <row r="22" ht="15.75" spans="2:28">
      <c r="B22" s="56">
        <v>17</v>
      </c>
      <c r="C22" s="57" t="s">
        <v>68</v>
      </c>
      <c r="D22" s="57">
        <v>6790</v>
      </c>
      <c r="E22" s="57" t="s">
        <v>66</v>
      </c>
      <c r="F22" s="57">
        <v>30</v>
      </c>
      <c r="G22" s="57" t="s">
        <v>45</v>
      </c>
      <c r="H22" s="57" t="s">
        <v>46</v>
      </c>
      <c r="I22" s="57">
        <v>214</v>
      </c>
      <c r="J22" s="58">
        <v>0.375</v>
      </c>
      <c r="K22" s="57">
        <v>20</v>
      </c>
      <c r="L22" s="57">
        <v>100</v>
      </c>
      <c r="M22" s="57">
        <v>1.5</v>
      </c>
      <c r="N22" s="57" t="s">
        <v>47</v>
      </c>
      <c r="O22" s="57" t="s">
        <v>14</v>
      </c>
      <c r="P22" s="57">
        <v>28.56</v>
      </c>
      <c r="Q22" s="57">
        <v>5.3</v>
      </c>
      <c r="S22" s="13">
        <f t="shared" si="0"/>
        <v>6790</v>
      </c>
      <c r="T22" s="14">
        <f t="shared" si="1"/>
        <v>214</v>
      </c>
      <c r="U22" s="14">
        <f t="shared" si="2"/>
        <v>6780</v>
      </c>
      <c r="V22" s="14">
        <f t="shared" si="3"/>
        <v>164</v>
      </c>
      <c r="W22" s="14">
        <f t="shared" si="4"/>
        <v>6780</v>
      </c>
      <c r="X22" s="14">
        <f t="shared" si="5"/>
        <v>264</v>
      </c>
      <c r="Y22" s="14">
        <f t="shared" si="6"/>
        <v>6800</v>
      </c>
      <c r="Z22" s="14">
        <f t="shared" si="7"/>
        <v>264</v>
      </c>
      <c r="AA22" s="14">
        <f t="shared" si="8"/>
        <v>6800</v>
      </c>
      <c r="AB22" s="23">
        <f t="shared" si="9"/>
        <v>164</v>
      </c>
    </row>
    <row r="23" ht="15.75" spans="2:28">
      <c r="B23" s="56">
        <v>18</v>
      </c>
      <c r="C23" s="57" t="s">
        <v>69</v>
      </c>
      <c r="D23" s="57">
        <v>6795</v>
      </c>
      <c r="E23" s="57" t="s">
        <v>66</v>
      </c>
      <c r="F23" s="57">
        <v>25</v>
      </c>
      <c r="G23" s="57" t="s">
        <v>45</v>
      </c>
      <c r="H23" s="57" t="s">
        <v>51</v>
      </c>
      <c r="I23" s="57">
        <v>194</v>
      </c>
      <c r="J23" s="58">
        <v>0.113194444444444</v>
      </c>
      <c r="K23" s="57">
        <v>10</v>
      </c>
      <c r="L23" s="57">
        <v>40</v>
      </c>
      <c r="M23" s="57">
        <v>0.5</v>
      </c>
      <c r="N23" s="57" t="s">
        <v>47</v>
      </c>
      <c r="O23" s="57" t="s">
        <v>14</v>
      </c>
      <c r="P23" s="57">
        <v>28.56</v>
      </c>
      <c r="Q23" s="57">
        <v>1.8</v>
      </c>
      <c r="S23" s="13">
        <f t="shared" si="0"/>
        <v>6795</v>
      </c>
      <c r="T23" s="14">
        <f t="shared" si="1"/>
        <v>-194</v>
      </c>
      <c r="U23" s="14">
        <f t="shared" si="2"/>
        <v>6790</v>
      </c>
      <c r="V23" s="14">
        <f t="shared" si="3"/>
        <v>-214</v>
      </c>
      <c r="W23" s="14">
        <f t="shared" si="4"/>
        <v>6790</v>
      </c>
      <c r="X23" s="14">
        <f t="shared" si="5"/>
        <v>-174</v>
      </c>
      <c r="Y23" s="14">
        <f t="shared" si="6"/>
        <v>6800</v>
      </c>
      <c r="Z23" s="14">
        <f t="shared" si="7"/>
        <v>-174</v>
      </c>
      <c r="AA23" s="14">
        <f t="shared" si="8"/>
        <v>6800</v>
      </c>
      <c r="AB23" s="23">
        <f t="shared" si="9"/>
        <v>-214</v>
      </c>
    </row>
    <row r="24" ht="15.75" spans="2:28">
      <c r="B24" s="56">
        <v>19</v>
      </c>
      <c r="C24" s="57" t="s">
        <v>70</v>
      </c>
      <c r="D24" s="57">
        <v>6795</v>
      </c>
      <c r="E24" s="57" t="s">
        <v>66</v>
      </c>
      <c r="F24" s="57">
        <v>25</v>
      </c>
      <c r="G24" s="57" t="s">
        <v>45</v>
      </c>
      <c r="H24" s="57" t="s">
        <v>51</v>
      </c>
      <c r="I24" s="57">
        <v>349</v>
      </c>
      <c r="J24" s="58">
        <v>0.202777777777778</v>
      </c>
      <c r="K24" s="57">
        <v>25</v>
      </c>
      <c r="L24" s="57">
        <v>80</v>
      </c>
      <c r="M24" s="57">
        <v>1</v>
      </c>
      <c r="N24" s="57" t="s">
        <v>47</v>
      </c>
      <c r="O24" s="57" t="s">
        <v>14</v>
      </c>
      <c r="P24" s="57">
        <v>28.56</v>
      </c>
      <c r="Q24" s="57">
        <v>3.5</v>
      </c>
      <c r="S24" s="13">
        <f t="shared" si="0"/>
        <v>6795</v>
      </c>
      <c r="T24" s="14">
        <f t="shared" si="1"/>
        <v>-349</v>
      </c>
      <c r="U24" s="14">
        <f t="shared" si="2"/>
        <v>6782.5</v>
      </c>
      <c r="V24" s="14">
        <f t="shared" si="3"/>
        <v>-389</v>
      </c>
      <c r="W24" s="14">
        <f t="shared" si="4"/>
        <v>6782.5</v>
      </c>
      <c r="X24" s="14">
        <f t="shared" si="5"/>
        <v>-309</v>
      </c>
      <c r="Y24" s="14">
        <f t="shared" si="6"/>
        <v>6807.5</v>
      </c>
      <c r="Z24" s="14">
        <f t="shared" si="7"/>
        <v>-309</v>
      </c>
      <c r="AA24" s="14">
        <f t="shared" si="8"/>
        <v>6807.5</v>
      </c>
      <c r="AB24" s="23">
        <f t="shared" si="9"/>
        <v>-389</v>
      </c>
    </row>
    <row r="25" ht="15.75" spans="2:28">
      <c r="B25" s="56">
        <v>20</v>
      </c>
      <c r="C25" s="57" t="s">
        <v>71</v>
      </c>
      <c r="D25" s="57">
        <v>6845</v>
      </c>
      <c r="E25" s="57" t="s">
        <v>66</v>
      </c>
      <c r="F25" s="57" t="s">
        <v>45</v>
      </c>
      <c r="G25" s="57">
        <v>25</v>
      </c>
      <c r="H25" s="57" t="s">
        <v>51</v>
      </c>
      <c r="I25" s="57">
        <v>0</v>
      </c>
      <c r="J25" s="58">
        <v>0</v>
      </c>
      <c r="K25" s="57">
        <v>10</v>
      </c>
      <c r="L25" s="57">
        <v>35</v>
      </c>
      <c r="M25" s="57">
        <v>1</v>
      </c>
      <c r="N25" s="57" t="s">
        <v>47</v>
      </c>
      <c r="O25" s="57" t="s">
        <v>14</v>
      </c>
      <c r="P25" s="57">
        <v>28.56</v>
      </c>
      <c r="Q25" s="57">
        <v>3.5</v>
      </c>
      <c r="S25" s="13">
        <f t="shared" si="0"/>
        <v>6845</v>
      </c>
      <c r="T25" s="14">
        <f t="shared" si="1"/>
        <v>0</v>
      </c>
      <c r="U25" s="14">
        <f t="shared" si="2"/>
        <v>6840</v>
      </c>
      <c r="V25" s="14">
        <f t="shared" si="3"/>
        <v>-17.5</v>
      </c>
      <c r="W25" s="14">
        <f t="shared" si="4"/>
        <v>6840</v>
      </c>
      <c r="X25" s="14">
        <f t="shared" si="5"/>
        <v>17.5</v>
      </c>
      <c r="Y25" s="14">
        <f t="shared" si="6"/>
        <v>6850</v>
      </c>
      <c r="Z25" s="14">
        <f t="shared" si="7"/>
        <v>17.5</v>
      </c>
      <c r="AA25" s="14">
        <f t="shared" si="8"/>
        <v>6850</v>
      </c>
      <c r="AB25" s="23">
        <f t="shared" si="9"/>
        <v>-17.5</v>
      </c>
    </row>
    <row r="26" ht="15.75" spans="2:28">
      <c r="B26" s="56">
        <v>21</v>
      </c>
      <c r="C26" s="57" t="s">
        <v>72</v>
      </c>
      <c r="D26" s="57">
        <v>6845</v>
      </c>
      <c r="E26" s="57" t="s">
        <v>66</v>
      </c>
      <c r="F26" s="57" t="s">
        <v>45</v>
      </c>
      <c r="G26" s="57">
        <v>25</v>
      </c>
      <c r="H26" s="57" t="s">
        <v>46</v>
      </c>
      <c r="I26" s="57">
        <v>334</v>
      </c>
      <c r="J26" s="58">
        <v>0.305555555555556</v>
      </c>
      <c r="K26" s="57">
        <v>20</v>
      </c>
      <c r="L26" s="57">
        <v>170</v>
      </c>
      <c r="M26" s="57">
        <v>0.7</v>
      </c>
      <c r="N26" s="57" t="s">
        <v>47</v>
      </c>
      <c r="O26" s="57" t="s">
        <v>14</v>
      </c>
      <c r="P26" s="57">
        <v>28.56</v>
      </c>
      <c r="Q26" s="57">
        <v>2.5</v>
      </c>
      <c r="S26" s="13">
        <f t="shared" si="0"/>
        <v>6845</v>
      </c>
      <c r="T26" s="14">
        <f t="shared" si="1"/>
        <v>334</v>
      </c>
      <c r="U26" s="14">
        <f t="shared" si="2"/>
        <v>6835</v>
      </c>
      <c r="V26" s="14">
        <f t="shared" si="3"/>
        <v>249</v>
      </c>
      <c r="W26" s="14">
        <f t="shared" si="4"/>
        <v>6835</v>
      </c>
      <c r="X26" s="14">
        <f t="shared" si="5"/>
        <v>419</v>
      </c>
      <c r="Y26" s="14">
        <f t="shared" si="6"/>
        <v>6855</v>
      </c>
      <c r="Z26" s="14">
        <f t="shared" si="7"/>
        <v>419</v>
      </c>
      <c r="AA26" s="14">
        <f t="shared" si="8"/>
        <v>6855</v>
      </c>
      <c r="AB26" s="23">
        <f t="shared" si="9"/>
        <v>249</v>
      </c>
    </row>
    <row r="27" ht="15.75" spans="2:28">
      <c r="B27" s="56">
        <v>22</v>
      </c>
      <c r="C27" s="57" t="s">
        <v>73</v>
      </c>
      <c r="D27" s="57">
        <v>6850</v>
      </c>
      <c r="E27" s="57" t="s">
        <v>66</v>
      </c>
      <c r="F27" s="57" t="s">
        <v>45</v>
      </c>
      <c r="G27" s="57">
        <v>30</v>
      </c>
      <c r="H27" s="57" t="s">
        <v>46</v>
      </c>
      <c r="I27" s="57">
        <v>214</v>
      </c>
      <c r="J27" s="58">
        <v>0.375</v>
      </c>
      <c r="K27" s="57">
        <v>30</v>
      </c>
      <c r="L27" s="57">
        <v>30</v>
      </c>
      <c r="M27" s="57">
        <v>0.7</v>
      </c>
      <c r="N27" s="57" t="s">
        <v>47</v>
      </c>
      <c r="O27" s="57" t="s">
        <v>14</v>
      </c>
      <c r="P27" s="57">
        <v>28.56</v>
      </c>
      <c r="Q27" s="57">
        <v>2.5</v>
      </c>
      <c r="S27" s="13">
        <f t="shared" si="0"/>
        <v>6850</v>
      </c>
      <c r="T27" s="14">
        <f t="shared" si="1"/>
        <v>214</v>
      </c>
      <c r="U27" s="14">
        <f t="shared" si="2"/>
        <v>6835</v>
      </c>
      <c r="V27" s="14">
        <f t="shared" si="3"/>
        <v>199</v>
      </c>
      <c r="W27" s="14">
        <f t="shared" si="4"/>
        <v>6835</v>
      </c>
      <c r="X27" s="14">
        <f t="shared" si="5"/>
        <v>229</v>
      </c>
      <c r="Y27" s="14">
        <f t="shared" si="6"/>
        <v>6865</v>
      </c>
      <c r="Z27" s="14">
        <f t="shared" si="7"/>
        <v>229</v>
      </c>
      <c r="AA27" s="14">
        <f t="shared" si="8"/>
        <v>6865</v>
      </c>
      <c r="AB27" s="23">
        <f t="shared" si="9"/>
        <v>199</v>
      </c>
    </row>
    <row r="28" ht="15.75" spans="2:28">
      <c r="B28" s="56">
        <v>23</v>
      </c>
      <c r="C28" s="57" t="s">
        <v>74</v>
      </c>
      <c r="D28" s="57">
        <v>6860</v>
      </c>
      <c r="E28" s="57" t="s">
        <v>66</v>
      </c>
      <c r="F28" s="57" t="s">
        <v>45</v>
      </c>
      <c r="G28" s="57">
        <v>40</v>
      </c>
      <c r="H28" s="57" t="s">
        <v>46</v>
      </c>
      <c r="I28" s="57">
        <v>90</v>
      </c>
      <c r="J28" s="58">
        <v>0.447916666666667</v>
      </c>
      <c r="K28" s="57">
        <v>40</v>
      </c>
      <c r="L28" s="57">
        <v>130</v>
      </c>
      <c r="M28" s="57">
        <v>1.5</v>
      </c>
      <c r="N28" s="57" t="s">
        <v>47</v>
      </c>
      <c r="O28" s="57" t="s">
        <v>14</v>
      </c>
      <c r="P28" s="57">
        <v>28.56</v>
      </c>
      <c r="Q28" s="57">
        <v>5.3</v>
      </c>
      <c r="S28" s="13">
        <f t="shared" si="0"/>
        <v>6860</v>
      </c>
      <c r="T28" s="14">
        <f t="shared" si="1"/>
        <v>90</v>
      </c>
      <c r="U28" s="14">
        <f t="shared" si="2"/>
        <v>6840</v>
      </c>
      <c r="V28" s="14">
        <f t="shared" si="3"/>
        <v>25</v>
      </c>
      <c r="W28" s="14">
        <f t="shared" si="4"/>
        <v>6840</v>
      </c>
      <c r="X28" s="14">
        <f t="shared" si="5"/>
        <v>155</v>
      </c>
      <c r="Y28" s="14">
        <f t="shared" si="6"/>
        <v>6880</v>
      </c>
      <c r="Z28" s="14">
        <f t="shared" si="7"/>
        <v>155</v>
      </c>
      <c r="AA28" s="14">
        <f t="shared" si="8"/>
        <v>6880</v>
      </c>
      <c r="AB28" s="23">
        <f t="shared" si="9"/>
        <v>25</v>
      </c>
    </row>
    <row r="29" ht="15.75" spans="2:28">
      <c r="B29" s="56">
        <v>24</v>
      </c>
      <c r="C29" s="57" t="s">
        <v>75</v>
      </c>
      <c r="D29" s="57">
        <v>8260</v>
      </c>
      <c r="E29" s="57" t="s">
        <v>76</v>
      </c>
      <c r="F29" s="57" t="s">
        <v>45</v>
      </c>
      <c r="G29" s="57">
        <v>850</v>
      </c>
      <c r="H29" s="57" t="s">
        <v>46</v>
      </c>
      <c r="I29" s="57">
        <v>269</v>
      </c>
      <c r="J29" s="58">
        <v>0.34375</v>
      </c>
      <c r="K29" s="57">
        <v>35</v>
      </c>
      <c r="L29" s="57">
        <v>55</v>
      </c>
      <c r="M29" s="57">
        <v>1.5</v>
      </c>
      <c r="N29" s="57" t="s">
        <v>47</v>
      </c>
      <c r="O29" s="57" t="s">
        <v>14</v>
      </c>
      <c r="P29" s="57">
        <v>28.56</v>
      </c>
      <c r="Q29" s="57">
        <v>5.3</v>
      </c>
      <c r="S29" s="13">
        <f t="shared" si="0"/>
        <v>8260</v>
      </c>
      <c r="T29" s="14">
        <f t="shared" si="1"/>
        <v>269</v>
      </c>
      <c r="U29" s="14">
        <f t="shared" si="2"/>
        <v>8242.5</v>
      </c>
      <c r="V29" s="14">
        <f t="shared" si="3"/>
        <v>241.5</v>
      </c>
      <c r="W29" s="14">
        <f t="shared" si="4"/>
        <v>8242.5</v>
      </c>
      <c r="X29" s="14">
        <f t="shared" si="5"/>
        <v>296.5</v>
      </c>
      <c r="Y29" s="14">
        <f t="shared" si="6"/>
        <v>8277.5</v>
      </c>
      <c r="Z29" s="14">
        <f t="shared" si="7"/>
        <v>296.5</v>
      </c>
      <c r="AA29" s="14">
        <f t="shared" si="8"/>
        <v>8277.5</v>
      </c>
      <c r="AB29" s="23">
        <f t="shared" si="9"/>
        <v>241.5</v>
      </c>
    </row>
    <row r="30" ht="15.75" spans="2:28">
      <c r="B30" s="56">
        <v>25</v>
      </c>
      <c r="C30" s="57" t="s">
        <v>77</v>
      </c>
      <c r="D30" s="57">
        <v>8950</v>
      </c>
      <c r="E30" s="57" t="s">
        <v>78</v>
      </c>
      <c r="F30" s="57">
        <v>1160</v>
      </c>
      <c r="G30" s="57" t="s">
        <v>45</v>
      </c>
      <c r="H30" s="57" t="s">
        <v>51</v>
      </c>
      <c r="I30" s="57">
        <v>359</v>
      </c>
      <c r="J30" s="58">
        <v>0.209027777777778</v>
      </c>
      <c r="K30" s="57">
        <v>55</v>
      </c>
      <c r="L30" s="57">
        <v>20</v>
      </c>
      <c r="M30" s="57">
        <v>1.5</v>
      </c>
      <c r="N30" s="57" t="s">
        <v>47</v>
      </c>
      <c r="O30" s="57" t="s">
        <v>14</v>
      </c>
      <c r="P30" s="57">
        <v>28.56</v>
      </c>
      <c r="Q30" s="57">
        <v>5.3</v>
      </c>
      <c r="S30" s="13">
        <f t="shared" si="0"/>
        <v>8950</v>
      </c>
      <c r="T30" s="14">
        <f t="shared" si="1"/>
        <v>-359</v>
      </c>
      <c r="U30" s="14">
        <f t="shared" si="2"/>
        <v>8922.5</v>
      </c>
      <c r="V30" s="14">
        <f t="shared" si="3"/>
        <v>-369</v>
      </c>
      <c r="W30" s="14">
        <f t="shared" si="4"/>
        <v>8922.5</v>
      </c>
      <c r="X30" s="14">
        <f t="shared" si="5"/>
        <v>-349</v>
      </c>
      <c r="Y30" s="14">
        <f t="shared" si="6"/>
        <v>8977.5</v>
      </c>
      <c r="Z30" s="14">
        <f t="shared" si="7"/>
        <v>-349</v>
      </c>
      <c r="AA30" s="14">
        <f t="shared" si="8"/>
        <v>8977.5</v>
      </c>
      <c r="AB30" s="23">
        <f t="shared" si="9"/>
        <v>-369</v>
      </c>
    </row>
    <row r="31" ht="15.75" spans="2:28">
      <c r="B31" s="56">
        <v>26</v>
      </c>
      <c r="C31" s="57" t="s">
        <v>79</v>
      </c>
      <c r="D31" s="57">
        <v>9480</v>
      </c>
      <c r="E31" s="57" t="s">
        <v>78</v>
      </c>
      <c r="F31" s="57">
        <v>630</v>
      </c>
      <c r="G31" s="57" t="s">
        <v>45</v>
      </c>
      <c r="H31" s="57" t="s">
        <v>51</v>
      </c>
      <c r="I31" s="57">
        <v>349</v>
      </c>
      <c r="J31" s="58">
        <v>0.202777777777778</v>
      </c>
      <c r="K31" s="57">
        <v>50</v>
      </c>
      <c r="L31" s="57">
        <v>50</v>
      </c>
      <c r="M31" s="57">
        <v>2.5</v>
      </c>
      <c r="N31" s="57" t="s">
        <v>47</v>
      </c>
      <c r="O31" s="57" t="s">
        <v>14</v>
      </c>
      <c r="P31" s="57">
        <v>28.56</v>
      </c>
      <c r="Q31" s="57">
        <v>8.8</v>
      </c>
      <c r="S31" s="13">
        <f t="shared" si="0"/>
        <v>9480</v>
      </c>
      <c r="T31" s="14">
        <f t="shared" si="1"/>
        <v>-349</v>
      </c>
      <c r="U31" s="14">
        <f t="shared" si="2"/>
        <v>9455</v>
      </c>
      <c r="V31" s="14">
        <f t="shared" si="3"/>
        <v>-374</v>
      </c>
      <c r="W31" s="14">
        <f t="shared" si="4"/>
        <v>9455</v>
      </c>
      <c r="X31" s="14">
        <f t="shared" si="5"/>
        <v>-324</v>
      </c>
      <c r="Y31" s="14">
        <f t="shared" si="6"/>
        <v>9505</v>
      </c>
      <c r="Z31" s="14">
        <f t="shared" si="7"/>
        <v>-324</v>
      </c>
      <c r="AA31" s="14">
        <f t="shared" si="8"/>
        <v>9505</v>
      </c>
      <c r="AB31" s="23">
        <f t="shared" si="9"/>
        <v>-374</v>
      </c>
    </row>
    <row r="32" ht="15.75" spans="2:28">
      <c r="B32" s="56">
        <v>27</v>
      </c>
      <c r="C32" s="57" t="s">
        <v>80</v>
      </c>
      <c r="D32" s="57">
        <v>10070</v>
      </c>
      <c r="E32" s="57" t="s">
        <v>78</v>
      </c>
      <c r="F32" s="57">
        <v>40</v>
      </c>
      <c r="G32" s="57" t="s">
        <v>45</v>
      </c>
      <c r="H32" s="57" t="s">
        <v>51</v>
      </c>
      <c r="I32" s="57">
        <v>0</v>
      </c>
      <c r="J32" s="58">
        <v>0</v>
      </c>
      <c r="K32" s="57">
        <v>160</v>
      </c>
      <c r="L32" s="57">
        <v>858</v>
      </c>
      <c r="M32" s="57">
        <v>4</v>
      </c>
      <c r="N32" s="57" t="s">
        <v>47</v>
      </c>
      <c r="O32" s="57" t="s">
        <v>14</v>
      </c>
      <c r="P32" s="57">
        <v>28.56</v>
      </c>
      <c r="Q32" s="57">
        <v>14</v>
      </c>
      <c r="S32" s="13">
        <f t="shared" si="0"/>
        <v>10070</v>
      </c>
      <c r="T32" s="14">
        <f t="shared" si="1"/>
        <v>0</v>
      </c>
      <c r="U32" s="14">
        <f t="shared" si="2"/>
        <v>9990</v>
      </c>
      <c r="V32" s="14">
        <f t="shared" si="3"/>
        <v>-429</v>
      </c>
      <c r="W32" s="14">
        <f t="shared" si="4"/>
        <v>9990</v>
      </c>
      <c r="X32" s="14">
        <f t="shared" si="5"/>
        <v>429</v>
      </c>
      <c r="Y32" s="14">
        <f t="shared" si="6"/>
        <v>10150</v>
      </c>
      <c r="Z32" s="14">
        <f t="shared" si="7"/>
        <v>429</v>
      </c>
      <c r="AA32" s="14">
        <f t="shared" si="8"/>
        <v>10150</v>
      </c>
      <c r="AB32" s="23">
        <f t="shared" si="9"/>
        <v>-429</v>
      </c>
    </row>
    <row r="33" ht="15.75" spans="2:28">
      <c r="B33" s="56">
        <v>28</v>
      </c>
      <c r="C33" s="57" t="s">
        <v>81</v>
      </c>
      <c r="D33" s="57">
        <v>12130</v>
      </c>
      <c r="E33" s="57" t="s">
        <v>82</v>
      </c>
      <c r="F33" s="57" t="s">
        <v>45</v>
      </c>
      <c r="G33" s="57">
        <v>60</v>
      </c>
      <c r="H33" s="57" t="s">
        <v>51</v>
      </c>
      <c r="I33" s="57">
        <v>429</v>
      </c>
      <c r="J33" s="58">
        <v>0.25</v>
      </c>
      <c r="K33" s="57">
        <v>50</v>
      </c>
      <c r="L33" s="57">
        <v>100</v>
      </c>
      <c r="M33" s="57">
        <v>0.5</v>
      </c>
      <c r="N33" s="57" t="s">
        <v>47</v>
      </c>
      <c r="O33" s="57" t="s">
        <v>14</v>
      </c>
      <c r="P33" s="57">
        <v>28.56</v>
      </c>
      <c r="Q33" s="57">
        <v>1.8</v>
      </c>
      <c r="S33" s="13">
        <f t="shared" si="0"/>
        <v>12130</v>
      </c>
      <c r="T33" s="14">
        <f t="shared" si="1"/>
        <v>-429</v>
      </c>
      <c r="U33" s="14">
        <f t="shared" si="2"/>
        <v>12105</v>
      </c>
      <c r="V33" s="14">
        <f t="shared" si="3"/>
        <v>-479</v>
      </c>
      <c r="W33" s="14">
        <f t="shared" si="4"/>
        <v>12105</v>
      </c>
      <c r="X33" s="14">
        <f t="shared" si="5"/>
        <v>-379</v>
      </c>
      <c r="Y33" s="14">
        <f t="shared" si="6"/>
        <v>12155</v>
      </c>
      <c r="Z33" s="14">
        <f t="shared" si="7"/>
        <v>-379</v>
      </c>
      <c r="AA33" s="14">
        <f t="shared" si="8"/>
        <v>12155</v>
      </c>
      <c r="AB33" s="23">
        <f t="shared" si="9"/>
        <v>-479</v>
      </c>
    </row>
    <row r="34" ht="15.75" spans="2:28">
      <c r="B34" s="56">
        <v>29</v>
      </c>
      <c r="C34" s="57" t="s">
        <v>83</v>
      </c>
      <c r="D34" s="57">
        <v>12750</v>
      </c>
      <c r="E34" s="57" t="s">
        <v>84</v>
      </c>
      <c r="F34" s="57" t="s">
        <v>45</v>
      </c>
      <c r="G34" s="57">
        <v>90</v>
      </c>
      <c r="H34" s="57" t="s">
        <v>51</v>
      </c>
      <c r="I34" s="57">
        <v>0</v>
      </c>
      <c r="J34" s="58">
        <v>0</v>
      </c>
      <c r="K34" s="57">
        <v>25</v>
      </c>
      <c r="L34" s="57">
        <v>15</v>
      </c>
      <c r="M34" s="57">
        <v>0.5</v>
      </c>
      <c r="N34" s="57" t="s">
        <v>47</v>
      </c>
      <c r="O34" s="57" t="s">
        <v>14</v>
      </c>
      <c r="P34" s="57">
        <v>28.56</v>
      </c>
      <c r="Q34" s="57">
        <v>1.8</v>
      </c>
      <c r="S34" s="13">
        <f t="shared" si="0"/>
        <v>12750</v>
      </c>
      <c r="T34" s="14">
        <f t="shared" si="1"/>
        <v>0</v>
      </c>
      <c r="U34" s="14">
        <f t="shared" si="2"/>
        <v>12737.5</v>
      </c>
      <c r="V34" s="14">
        <f t="shared" si="3"/>
        <v>-7.5</v>
      </c>
      <c r="W34" s="14">
        <f t="shared" si="4"/>
        <v>12737.5</v>
      </c>
      <c r="X34" s="14">
        <f t="shared" si="5"/>
        <v>7.5</v>
      </c>
      <c r="Y34" s="14">
        <f t="shared" si="6"/>
        <v>12762.5</v>
      </c>
      <c r="Z34" s="14">
        <f t="shared" si="7"/>
        <v>7.5</v>
      </c>
      <c r="AA34" s="14">
        <f t="shared" si="8"/>
        <v>12762.5</v>
      </c>
      <c r="AB34" s="23">
        <f t="shared" si="9"/>
        <v>-7.5</v>
      </c>
    </row>
    <row r="35" ht="15.75" spans="2:28">
      <c r="B35" s="56">
        <v>30</v>
      </c>
      <c r="C35" s="57" t="s">
        <v>85</v>
      </c>
      <c r="D35" s="57">
        <v>13230</v>
      </c>
      <c r="E35" s="57" t="s">
        <v>86</v>
      </c>
      <c r="F35" s="57" t="s">
        <v>45</v>
      </c>
      <c r="G35" s="57">
        <v>130</v>
      </c>
      <c r="H35" s="57" t="s">
        <v>46</v>
      </c>
      <c r="I35" s="57">
        <v>130</v>
      </c>
      <c r="J35" s="58">
        <v>0.424305555555556</v>
      </c>
      <c r="K35" s="57">
        <v>20</v>
      </c>
      <c r="L35" s="57">
        <v>45</v>
      </c>
      <c r="M35" s="57">
        <v>1</v>
      </c>
      <c r="N35" s="57" t="s">
        <v>47</v>
      </c>
      <c r="O35" s="57" t="s">
        <v>14</v>
      </c>
      <c r="P35" s="57">
        <v>28.56</v>
      </c>
      <c r="Q35" s="57">
        <v>3.5</v>
      </c>
      <c r="S35" s="60">
        <f t="shared" si="0"/>
        <v>13230</v>
      </c>
      <c r="T35" s="10">
        <f t="shared" si="1"/>
        <v>130</v>
      </c>
      <c r="U35" s="10">
        <f t="shared" si="2"/>
        <v>13220</v>
      </c>
      <c r="V35" s="10">
        <f t="shared" si="3"/>
        <v>107.5</v>
      </c>
      <c r="W35" s="10">
        <f t="shared" si="4"/>
        <v>13220</v>
      </c>
      <c r="X35" s="10">
        <f t="shared" si="5"/>
        <v>152.5</v>
      </c>
      <c r="Y35" s="10">
        <f t="shared" si="6"/>
        <v>13240</v>
      </c>
      <c r="Z35" s="10">
        <f t="shared" si="7"/>
        <v>152.5</v>
      </c>
      <c r="AA35" s="10">
        <f t="shared" si="8"/>
        <v>13240</v>
      </c>
      <c r="AB35" s="61">
        <f t="shared" si="9"/>
        <v>107.5</v>
      </c>
    </row>
    <row r="36" spans="2:17">
      <c r="B36" s="62"/>
      <c r="C36" s="62"/>
      <c r="D36" s="62"/>
      <c r="E36" s="62"/>
      <c r="F36" s="62"/>
      <c r="G36" s="62"/>
      <c r="H36" s="62"/>
      <c r="I36" s="62"/>
      <c r="J36" s="63"/>
      <c r="K36" s="62"/>
      <c r="L36" s="62"/>
      <c r="M36" s="62"/>
      <c r="N36" s="62"/>
      <c r="O36" s="62"/>
      <c r="P36" s="62"/>
      <c r="Q36" s="62"/>
    </row>
  </sheetData>
  <mergeCells count="11">
    <mergeCell ref="S4:T4"/>
    <mergeCell ref="U4:AB4"/>
    <mergeCell ref="B2:B5"/>
    <mergeCell ref="E2:E5"/>
    <mergeCell ref="F4:F5"/>
    <mergeCell ref="G4:G5"/>
    <mergeCell ref="J4:J5"/>
    <mergeCell ref="N2:N5"/>
    <mergeCell ref="F2:G3"/>
    <mergeCell ref="H2:J3"/>
    <mergeCell ref="K2:M3"/>
  </mergeCell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B1:AB22"/>
  <sheetViews>
    <sheetView topLeftCell="K4" workbookViewId="0">
      <selection activeCell="U24" sqref="U24"/>
    </sheetView>
  </sheetViews>
  <sheetFormatPr defaultColWidth="9.14285714285714" defaultRowHeight="15"/>
  <sheetData>
    <row r="1" ht="15.75"/>
    <row r="2" ht="18.75" spans="2:28">
      <c r="B2" s="47" t="s">
        <v>1</v>
      </c>
      <c r="C2" s="48" t="s">
        <v>2</v>
      </c>
      <c r="D2" s="48" t="s">
        <v>3</v>
      </c>
      <c r="E2" s="49" t="s">
        <v>4</v>
      </c>
      <c r="F2" s="50" t="s">
        <v>5</v>
      </c>
      <c r="G2" s="50"/>
      <c r="H2" s="50" t="s">
        <v>6</v>
      </c>
      <c r="I2" s="50"/>
      <c r="J2" s="50"/>
      <c r="K2" s="50" t="s">
        <v>7</v>
      </c>
      <c r="L2" s="50"/>
      <c r="M2" s="50"/>
      <c r="N2" s="50" t="s">
        <v>8</v>
      </c>
      <c r="O2" s="48" t="s">
        <v>9</v>
      </c>
      <c r="P2" s="48" t="s">
        <v>10</v>
      </c>
      <c r="Q2" s="48" t="s">
        <v>11</v>
      </c>
      <c r="S2" s="21"/>
      <c r="T2" s="21"/>
      <c r="U2" s="59"/>
      <c r="V2" s="59"/>
      <c r="W2" s="59"/>
      <c r="X2" s="21"/>
      <c r="Y2" s="21"/>
      <c r="Z2" s="21"/>
      <c r="AA2" s="21"/>
      <c r="AB2" s="21"/>
    </row>
    <row r="3" ht="18.75" spans="2:28">
      <c r="B3" s="47"/>
      <c r="C3" s="51" t="s">
        <v>12</v>
      </c>
      <c r="D3" s="51" t="s">
        <v>13</v>
      </c>
      <c r="E3" s="49"/>
      <c r="F3" s="50"/>
      <c r="G3" s="50"/>
      <c r="H3" s="50"/>
      <c r="I3" s="50"/>
      <c r="J3" s="50"/>
      <c r="K3" s="50"/>
      <c r="L3" s="50"/>
      <c r="M3" s="50"/>
      <c r="N3" s="50"/>
      <c r="O3" s="51" t="s">
        <v>14</v>
      </c>
      <c r="P3" s="51" t="s">
        <v>15</v>
      </c>
      <c r="Q3" s="51" t="s">
        <v>16</v>
      </c>
      <c r="S3" s="59"/>
      <c r="T3" s="59"/>
      <c r="U3" s="59"/>
      <c r="V3" s="59"/>
      <c r="W3" s="59"/>
      <c r="X3" s="21"/>
      <c r="Y3" s="21"/>
      <c r="Z3" s="21"/>
      <c r="AA3" s="21"/>
      <c r="AB3" s="21"/>
    </row>
    <row r="4" ht="18.75" spans="2:28">
      <c r="B4" s="47"/>
      <c r="C4" s="52"/>
      <c r="D4" s="52"/>
      <c r="E4" s="49"/>
      <c r="F4" s="53" t="s">
        <v>17</v>
      </c>
      <c r="G4" s="53" t="s">
        <v>18</v>
      </c>
      <c r="H4" s="51" t="s">
        <v>19</v>
      </c>
      <c r="I4" s="51" t="s">
        <v>20</v>
      </c>
      <c r="J4" s="55" t="s">
        <v>21</v>
      </c>
      <c r="K4" s="51" t="s">
        <v>22</v>
      </c>
      <c r="L4" s="51" t="s">
        <v>23</v>
      </c>
      <c r="M4" s="48" t="s">
        <v>24</v>
      </c>
      <c r="N4" s="50"/>
      <c r="O4" s="52"/>
      <c r="P4" s="52"/>
      <c r="Q4" s="51" t="s">
        <v>25</v>
      </c>
      <c r="S4" s="1" t="s">
        <v>26</v>
      </c>
      <c r="T4" s="2"/>
      <c r="U4" s="1" t="s">
        <v>27</v>
      </c>
      <c r="V4" s="3"/>
      <c r="W4" s="3"/>
      <c r="X4" s="3"/>
      <c r="Y4" s="3"/>
      <c r="Z4" s="3"/>
      <c r="AA4" s="3"/>
      <c r="AB4" s="2"/>
    </row>
    <row r="5" ht="18.75" spans="2:28">
      <c r="B5" s="47"/>
      <c r="C5" s="54"/>
      <c r="D5" s="54"/>
      <c r="E5" s="49"/>
      <c r="F5" s="53"/>
      <c r="G5" s="53"/>
      <c r="H5" s="55" t="s">
        <v>28</v>
      </c>
      <c r="I5" s="55" t="s">
        <v>29</v>
      </c>
      <c r="J5" s="55"/>
      <c r="K5" s="55" t="s">
        <v>30</v>
      </c>
      <c r="L5" s="55" t="s">
        <v>31</v>
      </c>
      <c r="M5" s="55" t="s">
        <v>32</v>
      </c>
      <c r="N5" s="50"/>
      <c r="O5" s="54"/>
      <c r="P5" s="54"/>
      <c r="Q5" s="54"/>
      <c r="S5" s="4" t="s">
        <v>33</v>
      </c>
      <c r="T5" s="5" t="s">
        <v>34</v>
      </c>
      <c r="U5" s="6" t="s">
        <v>35</v>
      </c>
      <c r="V5" s="7" t="s">
        <v>36</v>
      </c>
      <c r="W5" s="6" t="s">
        <v>37</v>
      </c>
      <c r="X5" s="8" t="s">
        <v>38</v>
      </c>
      <c r="Y5" s="9" t="s">
        <v>39</v>
      </c>
      <c r="Z5" s="7" t="s">
        <v>40</v>
      </c>
      <c r="AA5" s="6" t="s">
        <v>41</v>
      </c>
      <c r="AB5" s="8" t="s">
        <v>42</v>
      </c>
    </row>
    <row r="6" ht="15.75" spans="2:28">
      <c r="B6" s="56">
        <v>1</v>
      </c>
      <c r="C6" s="57" t="s">
        <v>43</v>
      </c>
      <c r="D6" s="57">
        <v>165</v>
      </c>
      <c r="E6" s="57" t="s">
        <v>44</v>
      </c>
      <c r="F6" s="57">
        <v>40</v>
      </c>
      <c r="G6" s="57" t="s">
        <v>45</v>
      </c>
      <c r="H6" s="57" t="s">
        <v>46</v>
      </c>
      <c r="I6" s="57">
        <v>200</v>
      </c>
      <c r="J6" s="58">
        <v>0.352083333333333</v>
      </c>
      <c r="K6" s="57">
        <v>270</v>
      </c>
      <c r="L6" s="57">
        <v>450</v>
      </c>
      <c r="M6" s="57">
        <v>3</v>
      </c>
      <c r="N6" s="57" t="s">
        <v>47</v>
      </c>
      <c r="O6" s="57" t="s">
        <v>14</v>
      </c>
      <c r="P6" s="57">
        <v>28.56</v>
      </c>
      <c r="Q6" s="57">
        <v>10.5</v>
      </c>
      <c r="S6" s="11">
        <f t="shared" ref="S6:S35" si="0">D6</f>
        <v>165</v>
      </c>
      <c r="T6" s="12">
        <f t="shared" ref="T6:T35" si="1">IF(H6="Anticlockwise",I6,-I6)</f>
        <v>200</v>
      </c>
      <c r="U6" s="12">
        <f t="shared" ref="U6:U35" si="2">S6-(K6/2)</f>
        <v>30</v>
      </c>
      <c r="V6" s="12">
        <f t="shared" ref="V6:V35" si="3">T6-(L6/2)</f>
        <v>-25</v>
      </c>
      <c r="W6" s="12">
        <f t="shared" ref="W6:AA6" si="4">U6</f>
        <v>30</v>
      </c>
      <c r="X6" s="12">
        <f t="shared" ref="X6:X35" si="5">T6+(L6/2)</f>
        <v>425</v>
      </c>
      <c r="Y6" s="12">
        <f t="shared" ref="Y6:Y35" si="6">S6+(K6/2)</f>
        <v>300</v>
      </c>
      <c r="Z6" s="12">
        <f t="shared" si="4"/>
        <v>425</v>
      </c>
      <c r="AA6" s="12">
        <f t="shared" si="4"/>
        <v>300</v>
      </c>
      <c r="AB6" s="22">
        <f t="shared" ref="AB6:AB35" si="7">V6</f>
        <v>-25</v>
      </c>
    </row>
    <row r="7" ht="15.75" spans="2:28">
      <c r="B7" s="56">
        <v>2</v>
      </c>
      <c r="C7" s="57" t="s">
        <v>48</v>
      </c>
      <c r="D7" s="57">
        <v>475</v>
      </c>
      <c r="E7" s="57" t="s">
        <v>44</v>
      </c>
      <c r="F7" s="57">
        <v>30</v>
      </c>
      <c r="G7" s="57" t="s">
        <v>45</v>
      </c>
      <c r="H7" s="57" t="s">
        <v>51</v>
      </c>
      <c r="I7" s="57">
        <v>400</v>
      </c>
      <c r="J7" s="58">
        <v>0.494444444444444</v>
      </c>
      <c r="K7" s="57">
        <v>250</v>
      </c>
      <c r="L7" s="57">
        <v>75</v>
      </c>
      <c r="M7" s="57">
        <v>3</v>
      </c>
      <c r="N7" s="57" t="s">
        <v>47</v>
      </c>
      <c r="O7" s="57" t="s">
        <v>14</v>
      </c>
      <c r="P7" s="57">
        <v>28.56</v>
      </c>
      <c r="Q7" s="57">
        <v>10.5</v>
      </c>
      <c r="S7" s="13">
        <f t="shared" si="0"/>
        <v>475</v>
      </c>
      <c r="T7" s="14">
        <f t="shared" si="1"/>
        <v>-400</v>
      </c>
      <c r="U7" s="14">
        <f t="shared" si="2"/>
        <v>350</v>
      </c>
      <c r="V7" s="14">
        <f t="shared" si="3"/>
        <v>-437.5</v>
      </c>
      <c r="W7" s="14">
        <f t="shared" ref="W7:AA7" si="8">U7</f>
        <v>350</v>
      </c>
      <c r="X7" s="14">
        <f t="shared" si="5"/>
        <v>-362.5</v>
      </c>
      <c r="Y7" s="14">
        <f t="shared" si="6"/>
        <v>600</v>
      </c>
      <c r="Z7" s="14">
        <f t="shared" si="8"/>
        <v>-362.5</v>
      </c>
      <c r="AA7" s="14">
        <f t="shared" si="8"/>
        <v>600</v>
      </c>
      <c r="AB7" s="23">
        <f t="shared" si="7"/>
        <v>-437.5</v>
      </c>
    </row>
    <row r="8" ht="15.75" spans="2:28">
      <c r="B8" s="56">
        <v>3</v>
      </c>
      <c r="C8" s="57" t="s">
        <v>49</v>
      </c>
      <c r="D8" s="57">
        <v>1018</v>
      </c>
      <c r="E8" s="57" t="s">
        <v>44</v>
      </c>
      <c r="F8" s="57" t="s">
        <v>45</v>
      </c>
      <c r="G8" s="57">
        <v>30</v>
      </c>
      <c r="H8" s="57" t="s">
        <v>51</v>
      </c>
      <c r="I8" s="57">
        <v>50</v>
      </c>
      <c r="J8" s="58">
        <v>0.261111111111111</v>
      </c>
      <c r="K8" s="57">
        <v>565</v>
      </c>
      <c r="L8" s="57">
        <v>250</v>
      </c>
      <c r="M8" s="57">
        <v>3.2</v>
      </c>
      <c r="N8" s="57" t="s">
        <v>47</v>
      </c>
      <c r="O8" s="57" t="s">
        <v>14</v>
      </c>
      <c r="P8" s="57">
        <v>28.56</v>
      </c>
      <c r="Q8" s="57">
        <v>11.2</v>
      </c>
      <c r="S8" s="13">
        <f t="shared" si="0"/>
        <v>1018</v>
      </c>
      <c r="T8" s="14">
        <f t="shared" si="1"/>
        <v>-50</v>
      </c>
      <c r="U8" s="14">
        <f t="shared" si="2"/>
        <v>735.5</v>
      </c>
      <c r="V8" s="14">
        <f t="shared" si="3"/>
        <v>-175</v>
      </c>
      <c r="W8" s="14">
        <f t="shared" ref="W8:AA8" si="9">U8</f>
        <v>735.5</v>
      </c>
      <c r="X8" s="14">
        <f t="shared" si="5"/>
        <v>75</v>
      </c>
      <c r="Y8" s="14">
        <f t="shared" si="6"/>
        <v>1300.5</v>
      </c>
      <c r="Z8" s="14">
        <f t="shared" si="9"/>
        <v>75</v>
      </c>
      <c r="AA8" s="14">
        <f t="shared" si="9"/>
        <v>1300.5</v>
      </c>
      <c r="AB8" s="23">
        <f t="shared" si="7"/>
        <v>-175</v>
      </c>
    </row>
    <row r="9" ht="15.75" spans="2:28">
      <c r="B9" s="56">
        <v>4</v>
      </c>
      <c r="C9" s="57" t="s">
        <v>50</v>
      </c>
      <c r="D9" s="57">
        <v>1350</v>
      </c>
      <c r="E9" s="57" t="s">
        <v>44</v>
      </c>
      <c r="F9" s="57" t="s">
        <v>45</v>
      </c>
      <c r="G9" s="57">
        <v>35</v>
      </c>
      <c r="H9" s="57" t="s">
        <v>46</v>
      </c>
      <c r="I9" s="57">
        <v>220</v>
      </c>
      <c r="J9" s="58">
        <v>0.156944444444444</v>
      </c>
      <c r="K9" s="57">
        <v>700</v>
      </c>
      <c r="L9" s="57">
        <v>220</v>
      </c>
      <c r="M9" s="57">
        <v>2.5</v>
      </c>
      <c r="N9" s="57" t="s">
        <v>47</v>
      </c>
      <c r="O9" s="57" t="s">
        <v>14</v>
      </c>
      <c r="P9" s="57">
        <v>28.56</v>
      </c>
      <c r="Q9" s="57">
        <v>8.8</v>
      </c>
      <c r="S9" s="13">
        <f t="shared" si="0"/>
        <v>1350</v>
      </c>
      <c r="T9" s="14">
        <f t="shared" si="1"/>
        <v>220</v>
      </c>
      <c r="U9" s="14">
        <f t="shared" si="2"/>
        <v>1000</v>
      </c>
      <c r="V9" s="14">
        <f t="shared" si="3"/>
        <v>110</v>
      </c>
      <c r="W9" s="14">
        <f t="shared" ref="W9:AA9" si="10">U9</f>
        <v>1000</v>
      </c>
      <c r="X9" s="14">
        <f t="shared" si="5"/>
        <v>330</v>
      </c>
      <c r="Y9" s="14">
        <f t="shared" si="6"/>
        <v>1700</v>
      </c>
      <c r="Z9" s="14">
        <f t="shared" si="10"/>
        <v>330</v>
      </c>
      <c r="AA9" s="14">
        <f t="shared" si="10"/>
        <v>1700</v>
      </c>
      <c r="AB9" s="23">
        <f t="shared" si="7"/>
        <v>110</v>
      </c>
    </row>
    <row r="10" ht="15.75" spans="2:28">
      <c r="B10" s="56">
        <v>5</v>
      </c>
      <c r="C10" s="57" t="s">
        <v>52</v>
      </c>
      <c r="D10" s="57">
        <v>1650</v>
      </c>
      <c r="E10" s="57" t="s">
        <v>44</v>
      </c>
      <c r="F10" s="57" t="s">
        <v>45</v>
      </c>
      <c r="G10" s="57">
        <v>80</v>
      </c>
      <c r="H10" s="57" t="s">
        <v>51</v>
      </c>
      <c r="I10" s="57">
        <v>35</v>
      </c>
      <c r="J10" s="58">
        <v>0.433333333333333</v>
      </c>
      <c r="K10" s="57">
        <v>300</v>
      </c>
      <c r="L10" s="57">
        <v>510</v>
      </c>
      <c r="M10" s="57">
        <v>3.5</v>
      </c>
      <c r="N10" s="57" t="s">
        <v>47</v>
      </c>
      <c r="O10" s="57" t="s">
        <v>14</v>
      </c>
      <c r="P10" s="57">
        <v>28.56</v>
      </c>
      <c r="Q10" s="57">
        <v>12.3</v>
      </c>
      <c r="S10" s="13">
        <f t="shared" si="0"/>
        <v>1650</v>
      </c>
      <c r="T10" s="14">
        <f t="shared" si="1"/>
        <v>-35</v>
      </c>
      <c r="U10" s="14">
        <f t="shared" si="2"/>
        <v>1500</v>
      </c>
      <c r="V10" s="14">
        <f t="shared" si="3"/>
        <v>-290</v>
      </c>
      <c r="W10" s="14">
        <f t="shared" ref="W10:AA10" si="11">U10</f>
        <v>1500</v>
      </c>
      <c r="X10" s="14">
        <f t="shared" si="5"/>
        <v>220</v>
      </c>
      <c r="Y10" s="14">
        <f t="shared" si="6"/>
        <v>1800</v>
      </c>
      <c r="Z10" s="14">
        <f t="shared" si="11"/>
        <v>220</v>
      </c>
      <c r="AA10" s="14">
        <f t="shared" si="11"/>
        <v>1800</v>
      </c>
      <c r="AB10" s="23">
        <f t="shared" si="7"/>
        <v>-290</v>
      </c>
    </row>
    <row r="11" ht="15.75" spans="2:28">
      <c r="B11" s="56">
        <v>6</v>
      </c>
      <c r="C11" s="57" t="s">
        <v>53</v>
      </c>
      <c r="D11" s="57">
        <v>2275</v>
      </c>
      <c r="E11" s="57" t="s">
        <v>54</v>
      </c>
      <c r="F11" s="57">
        <v>55</v>
      </c>
      <c r="G11" s="57" t="s">
        <v>45</v>
      </c>
      <c r="H11" s="57" t="s">
        <v>51</v>
      </c>
      <c r="I11" s="57">
        <v>108</v>
      </c>
      <c r="J11" s="58">
        <v>0</v>
      </c>
      <c r="K11" s="57">
        <v>850</v>
      </c>
      <c r="L11" s="57">
        <v>645</v>
      </c>
      <c r="M11" s="57">
        <v>4</v>
      </c>
      <c r="N11" s="57" t="s">
        <v>47</v>
      </c>
      <c r="O11" s="57" t="s">
        <v>14</v>
      </c>
      <c r="P11" s="57">
        <v>28.56</v>
      </c>
      <c r="Q11" s="57">
        <v>14</v>
      </c>
      <c r="S11" s="13">
        <f t="shared" si="0"/>
        <v>2275</v>
      </c>
      <c r="T11" s="14">
        <f t="shared" si="1"/>
        <v>-108</v>
      </c>
      <c r="U11" s="14">
        <f t="shared" si="2"/>
        <v>1850</v>
      </c>
      <c r="V11" s="14">
        <f t="shared" si="3"/>
        <v>-430.5</v>
      </c>
      <c r="W11" s="14">
        <f t="shared" ref="W11:AA11" si="12">U11</f>
        <v>1850</v>
      </c>
      <c r="X11" s="14">
        <f t="shared" si="5"/>
        <v>214.5</v>
      </c>
      <c r="Y11" s="14">
        <f t="shared" si="6"/>
        <v>2700</v>
      </c>
      <c r="Z11" s="14">
        <f t="shared" si="12"/>
        <v>214.5</v>
      </c>
      <c r="AA11" s="14">
        <f t="shared" si="12"/>
        <v>2700</v>
      </c>
      <c r="AB11" s="23">
        <f t="shared" si="7"/>
        <v>-430.5</v>
      </c>
    </row>
    <row r="12" ht="15.75" spans="2:28">
      <c r="B12" s="56">
        <v>7</v>
      </c>
      <c r="C12" s="57" t="s">
        <v>55</v>
      </c>
      <c r="D12" s="57">
        <v>3778</v>
      </c>
      <c r="E12" s="57" t="s">
        <v>54</v>
      </c>
      <c r="F12" s="57" t="s">
        <v>45</v>
      </c>
      <c r="G12" s="57">
        <v>25</v>
      </c>
      <c r="H12" s="57" t="s">
        <v>51</v>
      </c>
      <c r="I12" s="57">
        <v>115</v>
      </c>
      <c r="J12" s="58">
        <v>0</v>
      </c>
      <c r="K12" s="57">
        <v>1945</v>
      </c>
      <c r="L12" s="57">
        <v>655</v>
      </c>
      <c r="M12" s="57">
        <v>1</v>
      </c>
      <c r="N12" s="57" t="s">
        <v>47</v>
      </c>
      <c r="O12" s="57" t="s">
        <v>14</v>
      </c>
      <c r="P12" s="57">
        <v>28.56</v>
      </c>
      <c r="Q12" s="57">
        <v>3.5</v>
      </c>
      <c r="S12" s="13">
        <f t="shared" si="0"/>
        <v>3778</v>
      </c>
      <c r="T12" s="14">
        <f t="shared" si="1"/>
        <v>-115</v>
      </c>
      <c r="U12" s="14">
        <f t="shared" si="2"/>
        <v>2805.5</v>
      </c>
      <c r="V12" s="14">
        <f t="shared" si="3"/>
        <v>-442.5</v>
      </c>
      <c r="W12" s="14">
        <f t="shared" ref="W12:AA12" si="13">U12</f>
        <v>2805.5</v>
      </c>
      <c r="X12" s="14">
        <f t="shared" si="5"/>
        <v>212.5</v>
      </c>
      <c r="Y12" s="14">
        <f t="shared" si="6"/>
        <v>4750.5</v>
      </c>
      <c r="Z12" s="14">
        <f t="shared" si="13"/>
        <v>212.5</v>
      </c>
      <c r="AA12" s="14">
        <f t="shared" si="13"/>
        <v>4750.5</v>
      </c>
      <c r="AB12" s="23">
        <f t="shared" si="7"/>
        <v>-442.5</v>
      </c>
    </row>
    <row r="13" ht="15.75" spans="2:28">
      <c r="B13" s="56">
        <v>8</v>
      </c>
      <c r="C13" s="57" t="s">
        <v>56</v>
      </c>
      <c r="D13" s="57">
        <v>5295</v>
      </c>
      <c r="E13" s="57" t="s">
        <v>57</v>
      </c>
      <c r="F13" s="57" t="s">
        <v>45</v>
      </c>
      <c r="G13" s="57">
        <v>160</v>
      </c>
      <c r="H13" s="57" t="s">
        <v>51</v>
      </c>
      <c r="I13" s="57">
        <v>140</v>
      </c>
      <c r="J13" s="58">
        <v>0</v>
      </c>
      <c r="K13" s="57">
        <v>410</v>
      </c>
      <c r="L13" s="57">
        <v>230</v>
      </c>
      <c r="M13" s="57">
        <v>1.5</v>
      </c>
      <c r="N13" s="57" t="s">
        <v>47</v>
      </c>
      <c r="O13" s="57" t="s">
        <v>14</v>
      </c>
      <c r="P13" s="57">
        <v>28.56</v>
      </c>
      <c r="Q13" s="57">
        <v>5.3</v>
      </c>
      <c r="S13" s="13">
        <f t="shared" si="0"/>
        <v>5295</v>
      </c>
      <c r="T13" s="14">
        <f t="shared" si="1"/>
        <v>-140</v>
      </c>
      <c r="U13" s="14">
        <f t="shared" si="2"/>
        <v>5090</v>
      </c>
      <c r="V13" s="14">
        <f t="shared" si="3"/>
        <v>-255</v>
      </c>
      <c r="W13" s="14">
        <f t="shared" ref="W13:AA13" si="14">U13</f>
        <v>5090</v>
      </c>
      <c r="X13" s="14">
        <f t="shared" si="5"/>
        <v>-25</v>
      </c>
      <c r="Y13" s="14">
        <f t="shared" si="6"/>
        <v>5500</v>
      </c>
      <c r="Z13" s="14">
        <f t="shared" si="14"/>
        <v>-25</v>
      </c>
      <c r="AA13" s="14">
        <f t="shared" si="14"/>
        <v>5500</v>
      </c>
      <c r="AB13" s="23">
        <f t="shared" si="7"/>
        <v>-255</v>
      </c>
    </row>
    <row r="14" ht="15.75" spans="2:28">
      <c r="B14" s="56">
        <v>9</v>
      </c>
      <c r="C14" s="57" t="s">
        <v>58</v>
      </c>
      <c r="D14" s="57">
        <v>6053</v>
      </c>
      <c r="E14" s="57" t="s">
        <v>59</v>
      </c>
      <c r="F14" s="57">
        <v>85</v>
      </c>
      <c r="G14" s="57" t="s">
        <v>45</v>
      </c>
      <c r="H14" s="57" t="s">
        <v>51</v>
      </c>
      <c r="I14" s="57">
        <v>110</v>
      </c>
      <c r="J14" s="58">
        <v>0</v>
      </c>
      <c r="K14" s="57">
        <v>1005</v>
      </c>
      <c r="L14" s="57">
        <v>120</v>
      </c>
      <c r="M14" s="57">
        <v>3.5</v>
      </c>
      <c r="N14" s="57" t="s">
        <v>47</v>
      </c>
      <c r="O14" s="57" t="s">
        <v>14</v>
      </c>
      <c r="P14" s="57">
        <v>28.56</v>
      </c>
      <c r="Q14" s="57">
        <v>12.3</v>
      </c>
      <c r="S14" s="13">
        <f t="shared" si="0"/>
        <v>6053</v>
      </c>
      <c r="T14" s="14">
        <f t="shared" si="1"/>
        <v>-110</v>
      </c>
      <c r="U14" s="14">
        <f t="shared" si="2"/>
        <v>5550.5</v>
      </c>
      <c r="V14" s="14">
        <f t="shared" si="3"/>
        <v>-170</v>
      </c>
      <c r="W14" s="14">
        <f t="shared" ref="W14:AA14" si="15">U14</f>
        <v>5550.5</v>
      </c>
      <c r="X14" s="14">
        <f t="shared" si="5"/>
        <v>-50</v>
      </c>
      <c r="Y14" s="14">
        <f t="shared" si="6"/>
        <v>6555.5</v>
      </c>
      <c r="Z14" s="14">
        <f t="shared" si="15"/>
        <v>-50</v>
      </c>
      <c r="AA14" s="14">
        <f t="shared" si="15"/>
        <v>6555.5</v>
      </c>
      <c r="AB14" s="23">
        <f t="shared" si="7"/>
        <v>-170</v>
      </c>
    </row>
    <row r="15" ht="15.75" spans="2:28">
      <c r="B15" s="56">
        <v>10</v>
      </c>
      <c r="C15" s="57" t="s">
        <v>60</v>
      </c>
      <c r="D15" s="57">
        <v>6747</v>
      </c>
      <c r="E15" s="57" t="s">
        <v>59</v>
      </c>
      <c r="F15" s="57" t="s">
        <v>45</v>
      </c>
      <c r="G15" s="57">
        <v>25</v>
      </c>
      <c r="H15" s="57" t="s">
        <v>51</v>
      </c>
      <c r="I15" s="57">
        <v>300</v>
      </c>
      <c r="J15" s="58">
        <v>0.25</v>
      </c>
      <c r="K15" s="57">
        <v>367</v>
      </c>
      <c r="L15" s="57">
        <v>350</v>
      </c>
      <c r="M15" s="57">
        <v>1.5</v>
      </c>
      <c r="N15" s="57" t="s">
        <v>47</v>
      </c>
      <c r="O15" s="57" t="s">
        <v>14</v>
      </c>
      <c r="P15" s="57">
        <v>28.56</v>
      </c>
      <c r="Q15" s="57">
        <v>5.3</v>
      </c>
      <c r="S15" s="13">
        <f t="shared" si="0"/>
        <v>6747</v>
      </c>
      <c r="T15" s="14">
        <f t="shared" si="1"/>
        <v>-300</v>
      </c>
      <c r="U15" s="14">
        <f t="shared" si="2"/>
        <v>6563.5</v>
      </c>
      <c r="V15" s="14">
        <f t="shared" si="3"/>
        <v>-475</v>
      </c>
      <c r="W15" s="14">
        <f t="shared" ref="W15:AA15" si="16">U15</f>
        <v>6563.5</v>
      </c>
      <c r="X15" s="14">
        <f t="shared" si="5"/>
        <v>-125</v>
      </c>
      <c r="Y15" s="14">
        <f t="shared" si="6"/>
        <v>6930.5</v>
      </c>
      <c r="Z15" s="14">
        <f t="shared" si="16"/>
        <v>-125</v>
      </c>
      <c r="AA15" s="14">
        <f t="shared" si="16"/>
        <v>6930.5</v>
      </c>
      <c r="AB15" s="23">
        <f t="shared" si="7"/>
        <v>-475</v>
      </c>
    </row>
    <row r="16" ht="15.75" spans="2:28">
      <c r="B16" s="56">
        <v>11</v>
      </c>
      <c r="C16" s="57" t="s">
        <v>61</v>
      </c>
      <c r="D16" s="57">
        <v>7223</v>
      </c>
      <c r="E16" s="57" t="s">
        <v>59</v>
      </c>
      <c r="F16" s="57" t="s">
        <v>45</v>
      </c>
      <c r="G16" s="57">
        <v>30</v>
      </c>
      <c r="H16" s="57" t="s">
        <v>46</v>
      </c>
      <c r="I16" s="57">
        <v>110</v>
      </c>
      <c r="J16" s="58">
        <v>0.0465277777777778</v>
      </c>
      <c r="K16" s="57">
        <v>485</v>
      </c>
      <c r="L16" s="57">
        <v>420</v>
      </c>
      <c r="M16" s="57">
        <v>2.5</v>
      </c>
      <c r="N16" s="57" t="s">
        <v>47</v>
      </c>
      <c r="O16" s="57" t="s">
        <v>14</v>
      </c>
      <c r="P16" s="57">
        <v>28.56</v>
      </c>
      <c r="Q16" s="57">
        <v>8.8</v>
      </c>
      <c r="S16" s="13">
        <f t="shared" si="0"/>
        <v>7223</v>
      </c>
      <c r="T16" s="14">
        <f t="shared" si="1"/>
        <v>110</v>
      </c>
      <c r="U16" s="14">
        <f t="shared" si="2"/>
        <v>6980.5</v>
      </c>
      <c r="V16" s="14">
        <f t="shared" si="3"/>
        <v>-100</v>
      </c>
      <c r="W16" s="14">
        <f t="shared" ref="W16:AA16" si="17">U16</f>
        <v>6980.5</v>
      </c>
      <c r="X16" s="14">
        <f t="shared" si="5"/>
        <v>320</v>
      </c>
      <c r="Y16" s="14">
        <f t="shared" si="6"/>
        <v>7465.5</v>
      </c>
      <c r="Z16" s="14">
        <f t="shared" si="17"/>
        <v>320</v>
      </c>
      <c r="AA16" s="14">
        <f t="shared" si="17"/>
        <v>7465.5</v>
      </c>
      <c r="AB16" s="23">
        <f t="shared" si="7"/>
        <v>-100</v>
      </c>
    </row>
    <row r="17" ht="15.75" spans="2:28">
      <c r="B17" s="56">
        <v>12</v>
      </c>
      <c r="C17" s="57" t="s">
        <v>62</v>
      </c>
      <c r="D17" s="57">
        <v>7743</v>
      </c>
      <c r="E17" s="57" t="s">
        <v>59</v>
      </c>
      <c r="F17" s="57" t="s">
        <v>45</v>
      </c>
      <c r="G17" s="57">
        <v>30</v>
      </c>
      <c r="H17" s="57" t="s">
        <v>51</v>
      </c>
      <c r="I17" s="57">
        <v>30</v>
      </c>
      <c r="J17" s="58">
        <v>0.375</v>
      </c>
      <c r="K17" s="57">
        <v>615</v>
      </c>
      <c r="L17" s="57">
        <v>510</v>
      </c>
      <c r="M17" s="57">
        <v>1.5</v>
      </c>
      <c r="N17" s="57" t="s">
        <v>47</v>
      </c>
      <c r="O17" s="57" t="s">
        <v>14</v>
      </c>
      <c r="P17" s="57">
        <v>28.56</v>
      </c>
      <c r="Q17" s="57">
        <v>5.3</v>
      </c>
      <c r="S17" s="13">
        <f t="shared" si="0"/>
        <v>7743</v>
      </c>
      <c r="T17" s="14">
        <f t="shared" si="1"/>
        <v>-30</v>
      </c>
      <c r="U17" s="14">
        <f t="shared" si="2"/>
        <v>7435.5</v>
      </c>
      <c r="V17" s="14">
        <f t="shared" si="3"/>
        <v>-285</v>
      </c>
      <c r="W17" s="14">
        <f t="shared" ref="W17:AA17" si="18">U17</f>
        <v>7435.5</v>
      </c>
      <c r="X17" s="14">
        <f t="shared" si="5"/>
        <v>225</v>
      </c>
      <c r="Y17" s="14">
        <f t="shared" si="6"/>
        <v>8050.5</v>
      </c>
      <c r="Z17" s="14">
        <f t="shared" si="18"/>
        <v>225</v>
      </c>
      <c r="AA17" s="14">
        <f t="shared" si="18"/>
        <v>8050.5</v>
      </c>
      <c r="AB17" s="23">
        <f t="shared" si="7"/>
        <v>-285</v>
      </c>
    </row>
    <row r="18" ht="15.75" spans="2:28">
      <c r="B18" s="56">
        <v>13</v>
      </c>
      <c r="C18" s="57" t="s">
        <v>63</v>
      </c>
      <c r="D18" s="57">
        <v>9200</v>
      </c>
      <c r="E18" s="57" t="s">
        <v>59</v>
      </c>
      <c r="F18" s="57" t="s">
        <v>45</v>
      </c>
      <c r="G18" s="57">
        <v>100</v>
      </c>
      <c r="H18" s="57" t="s">
        <v>51</v>
      </c>
      <c r="I18" s="57">
        <v>60</v>
      </c>
      <c r="J18" s="58">
        <v>0.375</v>
      </c>
      <c r="K18" s="57">
        <v>600</v>
      </c>
      <c r="L18" s="57">
        <v>150</v>
      </c>
      <c r="M18" s="57">
        <v>2.5</v>
      </c>
      <c r="N18" s="57" t="s">
        <v>47</v>
      </c>
      <c r="O18" s="57" t="s">
        <v>14</v>
      </c>
      <c r="P18" s="57">
        <v>28.56</v>
      </c>
      <c r="Q18" s="57">
        <v>8.8</v>
      </c>
      <c r="S18" s="13">
        <f t="shared" si="0"/>
        <v>9200</v>
      </c>
      <c r="T18" s="14">
        <f t="shared" si="1"/>
        <v>-60</v>
      </c>
      <c r="U18" s="14">
        <f t="shared" si="2"/>
        <v>8900</v>
      </c>
      <c r="V18" s="14">
        <f t="shared" si="3"/>
        <v>-135</v>
      </c>
      <c r="W18" s="14">
        <f t="shared" ref="W18:AA18" si="19">U18</f>
        <v>8900</v>
      </c>
      <c r="X18" s="14">
        <f t="shared" si="5"/>
        <v>15</v>
      </c>
      <c r="Y18" s="14">
        <f t="shared" si="6"/>
        <v>9500</v>
      </c>
      <c r="Z18" s="14">
        <f t="shared" si="19"/>
        <v>15</v>
      </c>
      <c r="AA18" s="14">
        <f t="shared" si="19"/>
        <v>9500</v>
      </c>
      <c r="AB18" s="23">
        <f t="shared" si="7"/>
        <v>-135</v>
      </c>
    </row>
    <row r="19" ht="15.75" spans="2:28">
      <c r="B19" s="56">
        <v>14</v>
      </c>
      <c r="C19" s="57" t="s">
        <v>64</v>
      </c>
      <c r="D19" s="57">
        <v>12518</v>
      </c>
      <c r="E19" s="57" t="s">
        <v>59</v>
      </c>
      <c r="F19" s="57" t="s">
        <v>45</v>
      </c>
      <c r="G19" s="57">
        <v>750</v>
      </c>
      <c r="H19" s="57" t="s">
        <v>51</v>
      </c>
      <c r="I19" s="57">
        <v>215</v>
      </c>
      <c r="J19" s="58">
        <v>0.25</v>
      </c>
      <c r="K19" s="57">
        <v>4365</v>
      </c>
      <c r="L19" s="57">
        <v>490</v>
      </c>
      <c r="M19" s="57">
        <v>3</v>
      </c>
      <c r="N19" s="57" t="s">
        <v>47</v>
      </c>
      <c r="O19" s="57" t="s">
        <v>14</v>
      </c>
      <c r="P19" s="57">
        <v>28.56</v>
      </c>
      <c r="Q19" s="57">
        <v>10.5</v>
      </c>
      <c r="S19" s="13">
        <f t="shared" si="0"/>
        <v>12518</v>
      </c>
      <c r="T19" s="14">
        <f t="shared" si="1"/>
        <v>-215</v>
      </c>
      <c r="U19" s="14">
        <f t="shared" si="2"/>
        <v>10335.5</v>
      </c>
      <c r="V19" s="14">
        <f t="shared" si="3"/>
        <v>-460</v>
      </c>
      <c r="W19" s="14">
        <f t="shared" ref="W19:AA19" si="20">U19</f>
        <v>10335.5</v>
      </c>
      <c r="X19" s="14">
        <f t="shared" si="5"/>
        <v>30</v>
      </c>
      <c r="Y19" s="14">
        <f t="shared" si="6"/>
        <v>14700.5</v>
      </c>
      <c r="Z19" s="14">
        <f t="shared" si="20"/>
        <v>30</v>
      </c>
      <c r="AA19" s="14">
        <f t="shared" si="20"/>
        <v>14700.5</v>
      </c>
      <c r="AB19" s="23">
        <f t="shared" si="7"/>
        <v>-460</v>
      </c>
    </row>
    <row r="20" ht="15.75" spans="2:28">
      <c r="B20" s="56">
        <v>15</v>
      </c>
      <c r="C20" s="57" t="s">
        <v>65</v>
      </c>
      <c r="D20" s="57">
        <v>14850</v>
      </c>
      <c r="E20" s="57" t="s">
        <v>66</v>
      </c>
      <c r="F20" s="57">
        <v>45</v>
      </c>
      <c r="G20" s="57" t="s">
        <v>45</v>
      </c>
      <c r="H20" s="57" t="s">
        <v>51</v>
      </c>
      <c r="I20" s="57">
        <v>420</v>
      </c>
      <c r="J20" s="58">
        <v>0.488888888888889</v>
      </c>
      <c r="K20" s="57">
        <v>300</v>
      </c>
      <c r="L20" s="57">
        <v>470</v>
      </c>
      <c r="M20" s="57">
        <v>2.5</v>
      </c>
      <c r="N20" s="57" t="s">
        <v>47</v>
      </c>
      <c r="O20" s="57" t="s">
        <v>14</v>
      </c>
      <c r="P20" s="57">
        <v>28.56</v>
      </c>
      <c r="Q20" s="57">
        <v>8.8</v>
      </c>
      <c r="S20" s="13">
        <f t="shared" si="0"/>
        <v>14850</v>
      </c>
      <c r="T20" s="14">
        <f t="shared" si="1"/>
        <v>-420</v>
      </c>
      <c r="U20" s="14">
        <f t="shared" si="2"/>
        <v>14700</v>
      </c>
      <c r="V20" s="14">
        <f t="shared" si="3"/>
        <v>-655</v>
      </c>
      <c r="W20" s="14">
        <f t="shared" ref="W20:AA20" si="21">U20</f>
        <v>14700</v>
      </c>
      <c r="X20" s="14">
        <f t="shared" si="5"/>
        <v>-185</v>
      </c>
      <c r="Y20" s="14">
        <f t="shared" si="6"/>
        <v>15000</v>
      </c>
      <c r="Z20" s="14">
        <f t="shared" si="21"/>
        <v>-185</v>
      </c>
      <c r="AA20" s="14">
        <f t="shared" si="21"/>
        <v>15000</v>
      </c>
      <c r="AB20" s="23">
        <f t="shared" si="7"/>
        <v>-655</v>
      </c>
    </row>
    <row r="21" ht="15.75" spans="2:28">
      <c r="B21" s="56">
        <v>16</v>
      </c>
      <c r="C21" s="57" t="s">
        <v>67</v>
      </c>
      <c r="D21" s="57">
        <v>15490</v>
      </c>
      <c r="E21" s="57" t="s">
        <v>66</v>
      </c>
      <c r="F21" s="57">
        <v>30</v>
      </c>
      <c r="G21" s="57" t="s">
        <v>45</v>
      </c>
      <c r="H21" s="57" t="s">
        <v>46</v>
      </c>
      <c r="I21" s="57">
        <v>300</v>
      </c>
      <c r="J21" s="58">
        <v>0.268055555555556</v>
      </c>
      <c r="K21" s="57">
        <v>280</v>
      </c>
      <c r="L21" s="57">
        <v>150</v>
      </c>
      <c r="M21" s="57">
        <v>1.5</v>
      </c>
      <c r="N21" s="57" t="s">
        <v>47</v>
      </c>
      <c r="O21" s="57" t="s">
        <v>14</v>
      </c>
      <c r="P21" s="57">
        <v>28.56</v>
      </c>
      <c r="Q21" s="57">
        <v>5.3</v>
      </c>
      <c r="S21" s="13">
        <f t="shared" si="0"/>
        <v>15490</v>
      </c>
      <c r="T21" s="14">
        <f t="shared" si="1"/>
        <v>300</v>
      </c>
      <c r="U21" s="14">
        <f t="shared" si="2"/>
        <v>15350</v>
      </c>
      <c r="V21" s="14">
        <f t="shared" si="3"/>
        <v>225</v>
      </c>
      <c r="W21" s="14">
        <f t="shared" ref="W21:AA21" si="22">U21</f>
        <v>15350</v>
      </c>
      <c r="X21" s="14">
        <f t="shared" si="5"/>
        <v>375</v>
      </c>
      <c r="Y21" s="14">
        <f t="shared" si="6"/>
        <v>15630</v>
      </c>
      <c r="Z21" s="14">
        <f t="shared" si="22"/>
        <v>375</v>
      </c>
      <c r="AA21" s="14">
        <f t="shared" si="22"/>
        <v>15630</v>
      </c>
      <c r="AB21" s="23">
        <f t="shared" si="7"/>
        <v>225</v>
      </c>
    </row>
    <row r="22" ht="15.75" spans="2:28">
      <c r="B22" s="56">
        <v>17</v>
      </c>
      <c r="C22" s="57" t="s">
        <v>68</v>
      </c>
      <c r="D22" s="57">
        <v>16025</v>
      </c>
      <c r="E22" s="57" t="s">
        <v>66</v>
      </c>
      <c r="F22" s="57">
        <v>30</v>
      </c>
      <c r="G22" s="57" t="s">
        <v>45</v>
      </c>
      <c r="H22" s="57" t="s">
        <v>46</v>
      </c>
      <c r="I22" s="57">
        <v>355</v>
      </c>
      <c r="J22" s="58">
        <v>0.375</v>
      </c>
      <c r="K22" s="57">
        <v>782</v>
      </c>
      <c r="L22" s="57">
        <v>714</v>
      </c>
      <c r="M22" s="57">
        <v>1.5</v>
      </c>
      <c r="N22" s="57" t="s">
        <v>47</v>
      </c>
      <c r="O22" s="57" t="s">
        <v>14</v>
      </c>
      <c r="P22" s="57">
        <v>28.56</v>
      </c>
      <c r="Q22" s="57">
        <v>5.3</v>
      </c>
      <c r="S22" s="60">
        <f t="shared" si="0"/>
        <v>16025</v>
      </c>
      <c r="T22" s="10">
        <f t="shared" si="1"/>
        <v>355</v>
      </c>
      <c r="U22" s="10">
        <f t="shared" si="2"/>
        <v>15634</v>
      </c>
      <c r="V22" s="10">
        <f t="shared" si="3"/>
        <v>-2</v>
      </c>
      <c r="W22" s="10">
        <f t="shared" ref="W22:AA22" si="23">U22</f>
        <v>15634</v>
      </c>
      <c r="X22" s="10">
        <f t="shared" si="5"/>
        <v>712</v>
      </c>
      <c r="Y22" s="10">
        <f t="shared" si="6"/>
        <v>16416</v>
      </c>
      <c r="Z22" s="10">
        <f t="shared" si="23"/>
        <v>712</v>
      </c>
      <c r="AA22" s="10">
        <f t="shared" si="23"/>
        <v>16416</v>
      </c>
      <c r="AB22" s="61">
        <f t="shared" si="7"/>
        <v>-2</v>
      </c>
    </row>
  </sheetData>
  <mergeCells count="11">
    <mergeCell ref="S4:T4"/>
    <mergeCell ref="U4:AB4"/>
    <mergeCell ref="B2:B5"/>
    <mergeCell ref="E2:E5"/>
    <mergeCell ref="F4:F5"/>
    <mergeCell ref="G4:G5"/>
    <mergeCell ref="J4:J5"/>
    <mergeCell ref="N2:N5"/>
    <mergeCell ref="F2:G3"/>
    <mergeCell ref="H2:J3"/>
    <mergeCell ref="K2:M3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2:J39"/>
  <sheetViews>
    <sheetView topLeftCell="A5" workbookViewId="0">
      <selection activeCell="C15" sqref="C15"/>
    </sheetView>
  </sheetViews>
  <sheetFormatPr defaultColWidth="9.14285714285714" defaultRowHeight="15"/>
  <cols>
    <col min="2" max="2" width="11.2857142857143" customWidth="1"/>
    <col min="3" max="3" width="39.1428571428571" customWidth="1"/>
    <col min="4" max="5" width="8.28571428571429" customWidth="1"/>
    <col min="7" max="7" width="9.42857142857143" customWidth="1"/>
    <col min="8" max="8" width="18.1428571428571" customWidth="1"/>
    <col min="9" max="9" width="8.57142857142857" customWidth="1"/>
    <col min="10" max="10" width="9.14285714285714" customWidth="1"/>
  </cols>
  <sheetData>
    <row r="2" ht="18" spans="2:7">
      <c r="B2" s="25" t="s">
        <v>87</v>
      </c>
      <c r="G2" t="s">
        <v>88</v>
      </c>
    </row>
    <row r="3" ht="15.75" spans="2:10">
      <c r="B3" s="26" t="s">
        <v>89</v>
      </c>
      <c r="C3" s="27">
        <v>425</v>
      </c>
      <c r="G3" s="26" t="s">
        <v>89</v>
      </c>
      <c r="H3" s="27">
        <v>425</v>
      </c>
      <c r="I3" s="26"/>
      <c r="J3" s="26"/>
    </row>
    <row r="4" ht="90.75" spans="2:10">
      <c r="B4" s="28" t="s">
        <v>1</v>
      </c>
      <c r="C4" s="29" t="s">
        <v>90</v>
      </c>
      <c r="D4" s="29" t="s">
        <v>91</v>
      </c>
      <c r="E4" s="29" t="s">
        <v>92</v>
      </c>
      <c r="G4" s="30" t="s">
        <v>93</v>
      </c>
      <c r="H4" s="31" t="s">
        <v>90</v>
      </c>
      <c r="I4" s="31" t="s">
        <v>94</v>
      </c>
      <c r="J4" s="31" t="s">
        <v>95</v>
      </c>
    </row>
    <row r="5" ht="64.5" spans="2:10">
      <c r="B5" s="32">
        <v>1</v>
      </c>
      <c r="C5" s="33" t="s">
        <v>96</v>
      </c>
      <c r="D5" s="34">
        <v>0</v>
      </c>
      <c r="E5" s="34">
        <f>D5</f>
        <v>0</v>
      </c>
      <c r="G5" s="35">
        <v>1</v>
      </c>
      <c r="H5" s="36" t="s">
        <v>97</v>
      </c>
      <c r="I5" s="43">
        <v>0</v>
      </c>
      <c r="J5" s="44">
        <v>0</v>
      </c>
    </row>
    <row r="6" ht="15.75" spans="2:10">
      <c r="B6" s="37">
        <v>2</v>
      </c>
      <c r="C6" s="38" t="s">
        <v>98</v>
      </c>
      <c r="D6" s="39">
        <v>600</v>
      </c>
      <c r="E6" s="39">
        <f t="shared" ref="E6:E39" si="0">E5+D6</f>
        <v>600</v>
      </c>
      <c r="G6" s="40">
        <v>2</v>
      </c>
      <c r="H6" s="41" t="s">
        <v>99</v>
      </c>
      <c r="I6" s="45">
        <v>305</v>
      </c>
      <c r="J6" s="46">
        <v>305</v>
      </c>
    </row>
    <row r="7" ht="15.75" spans="2:10">
      <c r="B7" s="37">
        <v>3</v>
      </c>
      <c r="C7" s="38" t="s">
        <v>100</v>
      </c>
      <c r="D7" s="39">
        <v>100</v>
      </c>
      <c r="E7" s="39">
        <f t="shared" si="0"/>
        <v>700</v>
      </c>
      <c r="G7" s="40">
        <v>3</v>
      </c>
      <c r="H7" s="41" t="s">
        <v>101</v>
      </c>
      <c r="I7" s="45">
        <v>305</v>
      </c>
      <c r="J7" s="46">
        <v>610</v>
      </c>
    </row>
    <row r="8" ht="15.75" spans="2:10">
      <c r="B8" s="37">
        <v>4</v>
      </c>
      <c r="C8" s="38" t="s">
        <v>102</v>
      </c>
      <c r="D8" s="39">
        <v>100</v>
      </c>
      <c r="E8" s="39">
        <f t="shared" si="0"/>
        <v>800</v>
      </c>
      <c r="G8" s="40">
        <v>4</v>
      </c>
      <c r="H8" s="41" t="s">
        <v>103</v>
      </c>
      <c r="I8" s="45">
        <v>260</v>
      </c>
      <c r="J8" s="46">
        <v>870</v>
      </c>
    </row>
    <row r="9" ht="15.75" spans="2:10">
      <c r="B9" s="37">
        <v>5</v>
      </c>
      <c r="C9" s="38" t="s">
        <v>104</v>
      </c>
      <c r="D9" s="39">
        <v>145</v>
      </c>
      <c r="E9" s="39">
        <f t="shared" si="0"/>
        <v>945</v>
      </c>
      <c r="G9" s="40">
        <v>5</v>
      </c>
      <c r="H9" s="41" t="s">
        <v>44</v>
      </c>
      <c r="I9" s="45">
        <v>260</v>
      </c>
      <c r="J9" s="46">
        <v>1130</v>
      </c>
    </row>
    <row r="10" ht="15.75" spans="2:10">
      <c r="B10" s="37">
        <v>6</v>
      </c>
      <c r="C10" s="38" t="s">
        <v>105</v>
      </c>
      <c r="D10" s="39">
        <v>145</v>
      </c>
      <c r="E10" s="39">
        <f t="shared" si="0"/>
        <v>1090</v>
      </c>
      <c r="G10" s="40">
        <v>6</v>
      </c>
      <c r="H10" s="41" t="s">
        <v>106</v>
      </c>
      <c r="I10" s="45">
        <v>510</v>
      </c>
      <c r="J10" s="46">
        <v>1640</v>
      </c>
    </row>
    <row r="11" ht="15.75" spans="2:10">
      <c r="B11" s="37">
        <v>7</v>
      </c>
      <c r="C11" s="38" t="s">
        <v>107</v>
      </c>
      <c r="D11" s="39">
        <v>490</v>
      </c>
      <c r="E11" s="39">
        <f t="shared" si="0"/>
        <v>1580</v>
      </c>
      <c r="G11" s="40">
        <v>7</v>
      </c>
      <c r="H11" s="41" t="s">
        <v>99</v>
      </c>
      <c r="I11" s="45">
        <v>295</v>
      </c>
      <c r="J11" s="46">
        <v>1935</v>
      </c>
    </row>
    <row r="12" ht="15.75" spans="2:10">
      <c r="B12" s="37">
        <v>8</v>
      </c>
      <c r="C12" s="38" t="s">
        <v>108</v>
      </c>
      <c r="D12" s="39">
        <v>160</v>
      </c>
      <c r="E12" s="39">
        <f t="shared" si="0"/>
        <v>1740</v>
      </c>
      <c r="G12" s="40">
        <v>8</v>
      </c>
      <c r="H12" s="41" t="s">
        <v>54</v>
      </c>
      <c r="I12" s="45">
        <v>295</v>
      </c>
      <c r="J12" s="46">
        <v>2230</v>
      </c>
    </row>
    <row r="13" ht="15.75" spans="2:10">
      <c r="B13" s="37">
        <v>9</v>
      </c>
      <c r="C13" s="38" t="s">
        <v>109</v>
      </c>
      <c r="D13" s="39">
        <v>160</v>
      </c>
      <c r="E13" s="39">
        <f t="shared" si="0"/>
        <v>1900</v>
      </c>
      <c r="G13" s="40">
        <v>9</v>
      </c>
      <c r="H13" s="41" t="s">
        <v>57</v>
      </c>
      <c r="I13" s="45">
        <v>450</v>
      </c>
      <c r="J13" s="46">
        <v>2680</v>
      </c>
    </row>
    <row r="14" ht="15.75" spans="2:10">
      <c r="B14" s="37">
        <v>10</v>
      </c>
      <c r="C14" s="38" t="s">
        <v>110</v>
      </c>
      <c r="D14" s="39">
        <v>700</v>
      </c>
      <c r="E14" s="39">
        <f t="shared" si="0"/>
        <v>2600</v>
      </c>
      <c r="G14" s="40">
        <v>10</v>
      </c>
      <c r="H14" s="41" t="s">
        <v>99</v>
      </c>
      <c r="I14" s="45">
        <v>295</v>
      </c>
      <c r="J14" s="46">
        <v>2975</v>
      </c>
    </row>
    <row r="15" ht="15.75" spans="2:10">
      <c r="B15" s="37">
        <v>11</v>
      </c>
      <c r="C15" s="38" t="s">
        <v>111</v>
      </c>
      <c r="D15" s="39">
        <v>2130</v>
      </c>
      <c r="E15" s="39">
        <f t="shared" si="0"/>
        <v>4730</v>
      </c>
      <c r="G15" s="40">
        <v>11</v>
      </c>
      <c r="H15" s="41" t="s">
        <v>59</v>
      </c>
      <c r="I15" s="45">
        <v>295</v>
      </c>
      <c r="J15" s="46">
        <v>3270</v>
      </c>
    </row>
    <row r="16" ht="15.75" spans="2:10">
      <c r="B16" s="37">
        <v>12</v>
      </c>
      <c r="C16" s="38" t="s">
        <v>112</v>
      </c>
      <c r="D16" s="39">
        <v>270</v>
      </c>
      <c r="E16" s="39">
        <f t="shared" si="0"/>
        <v>5000</v>
      </c>
      <c r="G16" s="40">
        <v>12</v>
      </c>
      <c r="H16" s="41" t="s">
        <v>113</v>
      </c>
      <c r="I16" s="45">
        <v>750</v>
      </c>
      <c r="J16" s="46">
        <v>4020</v>
      </c>
    </row>
    <row r="17" ht="15.75" spans="2:10">
      <c r="B17" s="37">
        <v>13</v>
      </c>
      <c r="C17" s="38" t="s">
        <v>114</v>
      </c>
      <c r="D17" s="39">
        <v>270</v>
      </c>
      <c r="E17" s="39">
        <f t="shared" si="0"/>
        <v>5270</v>
      </c>
      <c r="G17" s="40">
        <v>13</v>
      </c>
      <c r="H17" s="41" t="s">
        <v>115</v>
      </c>
      <c r="I17" s="45">
        <v>620</v>
      </c>
      <c r="J17" s="46">
        <v>4640</v>
      </c>
    </row>
    <row r="18" ht="15.75" spans="2:10">
      <c r="B18" s="37">
        <v>14</v>
      </c>
      <c r="C18" s="38" t="s">
        <v>116</v>
      </c>
      <c r="D18" s="39">
        <v>550</v>
      </c>
      <c r="E18" s="39">
        <f t="shared" si="0"/>
        <v>5820</v>
      </c>
      <c r="G18" s="40">
        <v>14</v>
      </c>
      <c r="H18" s="41" t="s">
        <v>117</v>
      </c>
      <c r="I18" s="45">
        <v>200</v>
      </c>
      <c r="J18" s="46">
        <v>4840</v>
      </c>
    </row>
    <row r="19" ht="15.75" spans="2:10">
      <c r="B19" s="37">
        <v>15</v>
      </c>
      <c r="C19" s="38" t="s">
        <v>112</v>
      </c>
      <c r="D19" s="39">
        <v>400</v>
      </c>
      <c r="E19" s="39">
        <f t="shared" si="0"/>
        <v>6220</v>
      </c>
      <c r="G19" s="40">
        <v>15</v>
      </c>
      <c r="H19" s="41" t="s">
        <v>118</v>
      </c>
      <c r="I19" s="45">
        <v>755</v>
      </c>
      <c r="J19" s="46">
        <v>5595</v>
      </c>
    </row>
    <row r="20" ht="15.75" spans="2:10">
      <c r="B20" s="37">
        <v>16</v>
      </c>
      <c r="C20" s="38" t="s">
        <v>119</v>
      </c>
      <c r="D20" s="39">
        <v>400</v>
      </c>
      <c r="E20" s="39">
        <f t="shared" si="0"/>
        <v>6620</v>
      </c>
      <c r="G20" s="40">
        <v>16</v>
      </c>
      <c r="H20" s="41" t="s">
        <v>120</v>
      </c>
      <c r="I20" s="45">
        <v>755</v>
      </c>
      <c r="J20" s="46">
        <v>6350</v>
      </c>
    </row>
    <row r="21" ht="15.75" spans="2:10">
      <c r="B21" s="37">
        <v>17</v>
      </c>
      <c r="C21" s="38" t="s">
        <v>121</v>
      </c>
      <c r="D21" s="39">
        <v>280</v>
      </c>
      <c r="E21" s="39">
        <f t="shared" si="0"/>
        <v>6900</v>
      </c>
      <c r="G21" s="40">
        <v>17</v>
      </c>
      <c r="H21" s="41" t="s">
        <v>115</v>
      </c>
      <c r="I21" s="45">
        <v>220</v>
      </c>
      <c r="J21" s="46">
        <v>6570</v>
      </c>
    </row>
    <row r="22" ht="15.75" spans="2:10">
      <c r="B22" s="37">
        <v>18</v>
      </c>
      <c r="C22" s="38" t="s">
        <v>122</v>
      </c>
      <c r="D22" s="39">
        <v>1120</v>
      </c>
      <c r="E22" s="39">
        <f t="shared" si="0"/>
        <v>8020</v>
      </c>
      <c r="G22" s="40">
        <v>18</v>
      </c>
      <c r="H22" s="41" t="s">
        <v>66</v>
      </c>
      <c r="I22" s="45">
        <v>250</v>
      </c>
      <c r="J22" s="46">
        <v>6820</v>
      </c>
    </row>
    <row r="23" ht="15.75" spans="2:10">
      <c r="B23" s="37">
        <v>19</v>
      </c>
      <c r="C23" s="38" t="s">
        <v>123</v>
      </c>
      <c r="D23" s="39">
        <v>325</v>
      </c>
      <c r="E23" s="39">
        <f t="shared" si="0"/>
        <v>8345</v>
      </c>
      <c r="G23" s="40">
        <v>19</v>
      </c>
      <c r="H23" s="41" t="s">
        <v>99</v>
      </c>
      <c r="I23" s="45">
        <v>295</v>
      </c>
      <c r="J23" s="46">
        <v>7115</v>
      </c>
    </row>
    <row r="24" ht="15.75" spans="2:10">
      <c r="B24" s="37">
        <v>20</v>
      </c>
      <c r="C24" s="38" t="s">
        <v>124</v>
      </c>
      <c r="D24" s="39">
        <v>325</v>
      </c>
      <c r="E24" s="39">
        <f t="shared" si="0"/>
        <v>8670</v>
      </c>
      <c r="G24" s="40">
        <v>20</v>
      </c>
      <c r="H24" s="42" t="s">
        <v>76</v>
      </c>
      <c r="I24" s="45">
        <v>295</v>
      </c>
      <c r="J24" s="46">
        <v>7410</v>
      </c>
    </row>
    <row r="25" ht="15.75" spans="2:10">
      <c r="B25" s="37">
        <v>21</v>
      </c>
      <c r="C25" s="38" t="s">
        <v>112</v>
      </c>
      <c r="D25" s="39">
        <v>255</v>
      </c>
      <c r="E25" s="39">
        <f t="shared" si="0"/>
        <v>8925</v>
      </c>
      <c r="G25" s="40">
        <v>21</v>
      </c>
      <c r="H25" s="42" t="s">
        <v>125</v>
      </c>
      <c r="I25" s="45" t="s">
        <v>126</v>
      </c>
      <c r="J25" s="46">
        <v>9260</v>
      </c>
    </row>
    <row r="26" ht="15.75" spans="2:10">
      <c r="B26" s="37">
        <v>22</v>
      </c>
      <c r="C26" s="38" t="s">
        <v>127</v>
      </c>
      <c r="D26" s="39">
        <v>255</v>
      </c>
      <c r="E26" s="39">
        <f t="shared" si="0"/>
        <v>9180</v>
      </c>
      <c r="G26" s="40">
        <v>22</v>
      </c>
      <c r="H26" s="42" t="s">
        <v>78</v>
      </c>
      <c r="I26" s="45">
        <v>850</v>
      </c>
      <c r="J26" s="46">
        <v>10110</v>
      </c>
    </row>
    <row r="27" ht="15.75" spans="2:10">
      <c r="B27" s="37">
        <v>23</v>
      </c>
      <c r="C27" s="38" t="s">
        <v>128</v>
      </c>
      <c r="D27" s="39">
        <v>100</v>
      </c>
      <c r="E27" s="39">
        <f t="shared" si="0"/>
        <v>9280</v>
      </c>
      <c r="G27" s="40">
        <v>23</v>
      </c>
      <c r="H27" s="42" t="s">
        <v>129</v>
      </c>
      <c r="I27" s="45">
        <v>760</v>
      </c>
      <c r="J27" s="46">
        <v>10870</v>
      </c>
    </row>
    <row r="28" ht="15.75" spans="2:10">
      <c r="B28" s="37">
        <v>24</v>
      </c>
      <c r="C28" s="38" t="s">
        <v>130</v>
      </c>
      <c r="D28" s="39">
        <v>300</v>
      </c>
      <c r="E28" s="39">
        <f t="shared" si="0"/>
        <v>9580</v>
      </c>
      <c r="G28" s="40">
        <v>24</v>
      </c>
      <c r="H28" s="42" t="s">
        <v>131</v>
      </c>
      <c r="I28" s="45">
        <v>760</v>
      </c>
      <c r="J28" s="46">
        <v>11630</v>
      </c>
    </row>
    <row r="29" ht="15.75" spans="2:10">
      <c r="B29" s="37">
        <v>25</v>
      </c>
      <c r="C29" s="38" t="s">
        <v>132</v>
      </c>
      <c r="D29" s="39">
        <v>300</v>
      </c>
      <c r="E29" s="39">
        <f t="shared" si="0"/>
        <v>9880</v>
      </c>
      <c r="G29" s="40">
        <v>25</v>
      </c>
      <c r="H29" s="42" t="s">
        <v>133</v>
      </c>
      <c r="I29" s="45">
        <v>220</v>
      </c>
      <c r="J29" s="46">
        <v>11850</v>
      </c>
    </row>
    <row r="30" ht="15.75" spans="2:10">
      <c r="B30" s="37">
        <v>26</v>
      </c>
      <c r="C30" s="38" t="s">
        <v>134</v>
      </c>
      <c r="D30" s="39">
        <v>170</v>
      </c>
      <c r="E30" s="39">
        <f t="shared" si="0"/>
        <v>10050</v>
      </c>
      <c r="G30" s="40">
        <v>26</v>
      </c>
      <c r="H30" s="42" t="s">
        <v>82</v>
      </c>
      <c r="I30" s="45">
        <v>220</v>
      </c>
      <c r="J30" s="46">
        <v>12070</v>
      </c>
    </row>
    <row r="31" ht="15.75" spans="2:10">
      <c r="B31" s="37">
        <v>27</v>
      </c>
      <c r="C31" s="38" t="s">
        <v>135</v>
      </c>
      <c r="D31" s="39">
        <v>220</v>
      </c>
      <c r="E31" s="39">
        <f t="shared" si="0"/>
        <v>10270</v>
      </c>
      <c r="G31" s="40">
        <v>27</v>
      </c>
      <c r="H31" s="42" t="s">
        <v>84</v>
      </c>
      <c r="I31" s="45">
        <v>590</v>
      </c>
      <c r="J31" s="46">
        <v>12660</v>
      </c>
    </row>
    <row r="32" ht="15.75" spans="2:10">
      <c r="B32" s="37">
        <v>28</v>
      </c>
      <c r="C32" s="38" t="s">
        <v>136</v>
      </c>
      <c r="D32" s="39">
        <v>220</v>
      </c>
      <c r="E32" s="39">
        <f t="shared" si="0"/>
        <v>10490</v>
      </c>
      <c r="G32" s="40">
        <v>28</v>
      </c>
      <c r="H32" s="42" t="s">
        <v>137</v>
      </c>
      <c r="I32" s="45">
        <v>220</v>
      </c>
      <c r="J32" s="46">
        <v>12880</v>
      </c>
    </row>
    <row r="33" ht="15.75" spans="2:10">
      <c r="B33" s="37">
        <v>29</v>
      </c>
      <c r="C33" s="38" t="s">
        <v>138</v>
      </c>
      <c r="D33" s="39">
        <v>2720</v>
      </c>
      <c r="E33" s="39">
        <f t="shared" si="0"/>
        <v>13210</v>
      </c>
      <c r="G33" s="40">
        <v>29</v>
      </c>
      <c r="H33" s="42" t="s">
        <v>86</v>
      </c>
      <c r="I33" s="45">
        <v>220</v>
      </c>
      <c r="J33" s="46">
        <v>13100</v>
      </c>
    </row>
    <row r="34" ht="15.75" spans="2:10">
      <c r="B34" s="37">
        <v>30</v>
      </c>
      <c r="C34" s="38" t="s">
        <v>139</v>
      </c>
      <c r="D34" s="39">
        <v>1695</v>
      </c>
      <c r="E34" s="39">
        <f t="shared" si="0"/>
        <v>14905</v>
      </c>
      <c r="G34" s="40">
        <v>30</v>
      </c>
      <c r="H34" s="42" t="s">
        <v>140</v>
      </c>
      <c r="I34" s="45">
        <v>260</v>
      </c>
      <c r="J34" s="46">
        <v>13360</v>
      </c>
    </row>
    <row r="35" ht="15.75" spans="2:10">
      <c r="B35" s="37">
        <v>31</v>
      </c>
      <c r="C35" s="38" t="s">
        <v>123</v>
      </c>
      <c r="D35" s="39">
        <v>340</v>
      </c>
      <c r="E35" s="39">
        <f t="shared" si="0"/>
        <v>15245</v>
      </c>
      <c r="G35" s="40">
        <v>31</v>
      </c>
      <c r="H35" s="42" t="s">
        <v>141</v>
      </c>
      <c r="I35" s="45">
        <v>260</v>
      </c>
      <c r="J35" s="46">
        <v>13620</v>
      </c>
    </row>
    <row r="36" ht="15.75" spans="2:10">
      <c r="B36" s="37">
        <v>32</v>
      </c>
      <c r="C36" s="38" t="s">
        <v>142</v>
      </c>
      <c r="D36" s="37">
        <v>340</v>
      </c>
      <c r="E36" s="39">
        <f t="shared" si="0"/>
        <v>15585</v>
      </c>
      <c r="G36" s="40">
        <v>32</v>
      </c>
      <c r="H36" s="42" t="s">
        <v>99</v>
      </c>
      <c r="I36" s="45">
        <v>300</v>
      </c>
      <c r="J36" s="46">
        <v>13920</v>
      </c>
    </row>
    <row r="37" ht="77.25" spans="2:10">
      <c r="B37" s="37">
        <v>33</v>
      </c>
      <c r="C37" s="38" t="s">
        <v>100</v>
      </c>
      <c r="D37" s="37">
        <v>100</v>
      </c>
      <c r="E37" s="39">
        <f t="shared" si="0"/>
        <v>15685</v>
      </c>
      <c r="G37" s="35">
        <v>33</v>
      </c>
      <c r="H37" s="36" t="s">
        <v>143</v>
      </c>
      <c r="I37" s="43">
        <v>300</v>
      </c>
      <c r="J37" s="44">
        <v>14220</v>
      </c>
    </row>
    <row r="38" spans="2:5">
      <c r="B38" s="37">
        <v>34</v>
      </c>
      <c r="C38" s="38" t="s">
        <v>144</v>
      </c>
      <c r="D38" s="37">
        <v>100</v>
      </c>
      <c r="E38" s="39">
        <f t="shared" si="0"/>
        <v>15785</v>
      </c>
    </row>
    <row r="39" spans="2:5">
      <c r="B39" s="32">
        <v>35</v>
      </c>
      <c r="C39" s="33" t="s">
        <v>145</v>
      </c>
      <c r="D39" s="32">
        <v>630</v>
      </c>
      <c r="E39" s="34">
        <f t="shared" si="0"/>
        <v>16415</v>
      </c>
    </row>
  </sheetData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K34"/>
  <sheetViews>
    <sheetView workbookViewId="0">
      <selection activeCell="P15" sqref="P15"/>
    </sheetView>
  </sheetViews>
  <sheetFormatPr defaultColWidth="9.14285714285714" defaultRowHeight="15"/>
  <cols>
    <col min="2" max="11" width="9.14285714285714" style="21"/>
  </cols>
  <sheetData>
    <row r="1" ht="15.75"/>
    <row r="2" ht="15.75" spans="2:11">
      <c r="B2" s="1" t="s">
        <v>26</v>
      </c>
      <c r="C2" s="2"/>
      <c r="D2" s="1" t="s">
        <v>27</v>
      </c>
      <c r="E2" s="3"/>
      <c r="F2" s="3"/>
      <c r="G2" s="3"/>
      <c r="H2" s="3"/>
      <c r="I2" s="3"/>
      <c r="J2" s="3"/>
      <c r="K2" s="2"/>
    </row>
    <row r="3" spans="2:11">
      <c r="B3" s="4" t="s">
        <v>33</v>
      </c>
      <c r="C3" s="5" t="s">
        <v>34</v>
      </c>
      <c r="D3" s="6" t="s">
        <v>35</v>
      </c>
      <c r="E3" s="7" t="s">
        <v>36</v>
      </c>
      <c r="F3" s="6" t="s">
        <v>37</v>
      </c>
      <c r="G3" s="8" t="s">
        <v>38</v>
      </c>
      <c r="H3" s="9" t="s">
        <v>39</v>
      </c>
      <c r="I3" s="7" t="s">
        <v>40</v>
      </c>
      <c r="J3" s="6" t="s">
        <v>41</v>
      </c>
      <c r="K3" s="8" t="s">
        <v>42</v>
      </c>
    </row>
    <row r="4" ht="15.75" spans="2:11">
      <c r="B4" s="10">
        <v>7110</v>
      </c>
      <c r="C4" s="10">
        <v>0</v>
      </c>
      <c r="D4" s="10">
        <v>0</v>
      </c>
      <c r="E4" s="10">
        <v>-500</v>
      </c>
      <c r="F4" s="10">
        <v>0</v>
      </c>
      <c r="G4" s="10">
        <v>500</v>
      </c>
      <c r="H4" s="10">
        <v>14220</v>
      </c>
      <c r="I4" s="10">
        <v>500</v>
      </c>
      <c r="J4" s="10">
        <v>14220</v>
      </c>
      <c r="K4" s="10">
        <v>-500</v>
      </c>
    </row>
    <row r="5" spans="2:11">
      <c r="B5" s="11">
        <v>1090</v>
      </c>
      <c r="C5" s="12">
        <v>254</v>
      </c>
      <c r="D5" s="12">
        <v>1065</v>
      </c>
      <c r="E5" s="12">
        <v>154</v>
      </c>
      <c r="F5" s="12">
        <v>1065</v>
      </c>
      <c r="G5" s="12">
        <v>354</v>
      </c>
      <c r="H5" s="12">
        <v>1115</v>
      </c>
      <c r="I5" s="12">
        <v>354</v>
      </c>
      <c r="J5" s="12">
        <v>1115</v>
      </c>
      <c r="K5" s="22">
        <v>154</v>
      </c>
    </row>
    <row r="6" spans="2:11">
      <c r="B6" s="13">
        <v>1100</v>
      </c>
      <c r="C6" s="14">
        <v>10</v>
      </c>
      <c r="D6" s="14">
        <v>1087.5</v>
      </c>
      <c r="E6" s="14">
        <v>-60</v>
      </c>
      <c r="F6" s="14">
        <v>1087.5</v>
      </c>
      <c r="G6" s="14">
        <v>80</v>
      </c>
      <c r="H6" s="14">
        <v>1112.5</v>
      </c>
      <c r="I6" s="14">
        <v>80</v>
      </c>
      <c r="J6" s="14">
        <v>1112.5</v>
      </c>
      <c r="K6" s="23">
        <v>-60</v>
      </c>
    </row>
    <row r="7" spans="2:11">
      <c r="B7" s="13">
        <v>1160</v>
      </c>
      <c r="C7" s="14">
        <v>411</v>
      </c>
      <c r="D7" s="14">
        <v>1147.5</v>
      </c>
      <c r="E7" s="14">
        <v>343.5</v>
      </c>
      <c r="F7" s="14">
        <v>1147.5</v>
      </c>
      <c r="G7" s="14">
        <v>478.5</v>
      </c>
      <c r="H7" s="14">
        <v>1172.5</v>
      </c>
      <c r="I7" s="14">
        <v>478.5</v>
      </c>
      <c r="J7" s="14">
        <v>1172.5</v>
      </c>
      <c r="K7" s="23">
        <v>343.5</v>
      </c>
    </row>
    <row r="8" spans="2:11">
      <c r="B8" s="13">
        <v>1165</v>
      </c>
      <c r="C8" s="14">
        <v>-270</v>
      </c>
      <c r="D8" s="14">
        <v>1145</v>
      </c>
      <c r="E8" s="14">
        <v>-332.5</v>
      </c>
      <c r="F8" s="14">
        <v>1145</v>
      </c>
      <c r="G8" s="14">
        <v>-207.5</v>
      </c>
      <c r="H8" s="14">
        <v>1185</v>
      </c>
      <c r="I8" s="14">
        <v>-207.5</v>
      </c>
      <c r="J8" s="14">
        <v>1185</v>
      </c>
      <c r="K8" s="23">
        <v>-332.5</v>
      </c>
    </row>
    <row r="9" spans="2:11">
      <c r="B9" s="13">
        <v>1210</v>
      </c>
      <c r="C9" s="14">
        <v>114</v>
      </c>
      <c r="D9" s="14">
        <v>1150</v>
      </c>
      <c r="E9" s="14">
        <v>-86</v>
      </c>
      <c r="F9" s="14">
        <v>1150</v>
      </c>
      <c r="G9" s="14">
        <v>314</v>
      </c>
      <c r="H9" s="14">
        <v>1270</v>
      </c>
      <c r="I9" s="14">
        <v>314</v>
      </c>
      <c r="J9" s="14">
        <v>1270</v>
      </c>
      <c r="K9" s="23">
        <v>-86</v>
      </c>
    </row>
    <row r="10" spans="2:11">
      <c r="B10" s="13">
        <v>2175</v>
      </c>
      <c r="C10" s="14">
        <v>0</v>
      </c>
      <c r="D10" s="14">
        <v>2127.5</v>
      </c>
      <c r="E10" s="14">
        <v>-429</v>
      </c>
      <c r="F10" s="14">
        <v>2127.5</v>
      </c>
      <c r="G10" s="14">
        <v>429</v>
      </c>
      <c r="H10" s="14">
        <v>2222.5</v>
      </c>
      <c r="I10" s="14">
        <v>429</v>
      </c>
      <c r="J10" s="14">
        <v>2222.5</v>
      </c>
      <c r="K10" s="23">
        <v>-429</v>
      </c>
    </row>
    <row r="11" spans="2:11">
      <c r="B11" s="13">
        <v>2255</v>
      </c>
      <c r="C11" s="14">
        <v>0</v>
      </c>
      <c r="D11" s="14">
        <v>2250</v>
      </c>
      <c r="E11" s="14">
        <v>-429</v>
      </c>
      <c r="F11" s="14">
        <v>2250</v>
      </c>
      <c r="G11" s="14">
        <v>429</v>
      </c>
      <c r="H11" s="14">
        <v>2260</v>
      </c>
      <c r="I11" s="14">
        <v>429</v>
      </c>
      <c r="J11" s="14">
        <v>2260</v>
      </c>
      <c r="K11" s="23">
        <v>-429</v>
      </c>
    </row>
    <row r="12" spans="2:11">
      <c r="B12" s="13">
        <v>2840</v>
      </c>
      <c r="C12" s="14">
        <v>0</v>
      </c>
      <c r="D12" s="14">
        <v>2765</v>
      </c>
      <c r="E12" s="14">
        <v>-22.5</v>
      </c>
      <c r="F12" s="14">
        <v>2765</v>
      </c>
      <c r="G12" s="14">
        <v>22.5</v>
      </c>
      <c r="H12" s="14">
        <v>2915</v>
      </c>
      <c r="I12" s="14">
        <v>22.5</v>
      </c>
      <c r="J12" s="14">
        <v>2915</v>
      </c>
      <c r="K12" s="23">
        <v>-22.5</v>
      </c>
    </row>
    <row r="13" spans="2:11">
      <c r="B13" s="13">
        <v>3185</v>
      </c>
      <c r="C13" s="14">
        <v>0</v>
      </c>
      <c r="D13" s="14">
        <v>3152.5</v>
      </c>
      <c r="E13" s="14">
        <v>-429</v>
      </c>
      <c r="F13" s="14">
        <v>3152.5</v>
      </c>
      <c r="G13" s="14">
        <v>429</v>
      </c>
      <c r="H13" s="14">
        <v>3217.5</v>
      </c>
      <c r="I13" s="14">
        <v>429</v>
      </c>
      <c r="J13" s="14">
        <v>3217.5</v>
      </c>
      <c r="K13" s="23">
        <v>-429</v>
      </c>
    </row>
    <row r="14" spans="2:11">
      <c r="B14" s="13">
        <v>3295</v>
      </c>
      <c r="C14" s="14">
        <v>-429</v>
      </c>
      <c r="D14" s="14">
        <v>3290</v>
      </c>
      <c r="E14" s="14">
        <v>-484</v>
      </c>
      <c r="F14" s="14">
        <v>3290</v>
      </c>
      <c r="G14" s="14">
        <v>-374</v>
      </c>
      <c r="H14" s="14">
        <v>3300</v>
      </c>
      <c r="I14" s="14">
        <v>-374</v>
      </c>
      <c r="J14" s="14">
        <v>3300</v>
      </c>
      <c r="K14" s="23">
        <v>-484</v>
      </c>
    </row>
    <row r="15" spans="2:11">
      <c r="B15" s="13">
        <v>3300</v>
      </c>
      <c r="C15" s="14">
        <v>-80</v>
      </c>
      <c r="D15" s="14">
        <v>3285</v>
      </c>
      <c r="E15" s="14">
        <v>-190</v>
      </c>
      <c r="F15" s="14">
        <v>3285</v>
      </c>
      <c r="G15" s="14">
        <v>30</v>
      </c>
      <c r="H15" s="14">
        <v>3315</v>
      </c>
      <c r="I15" s="14">
        <v>30</v>
      </c>
      <c r="J15" s="14">
        <v>3315</v>
      </c>
      <c r="K15" s="23">
        <v>-190</v>
      </c>
    </row>
    <row r="16" spans="2:11">
      <c r="B16" s="13">
        <v>3300</v>
      </c>
      <c r="C16" s="14">
        <v>214</v>
      </c>
      <c r="D16" s="14">
        <v>3287.5</v>
      </c>
      <c r="E16" s="14">
        <v>164</v>
      </c>
      <c r="F16" s="14">
        <v>3287.5</v>
      </c>
      <c r="G16" s="14">
        <v>264</v>
      </c>
      <c r="H16" s="14">
        <v>3312.5</v>
      </c>
      <c r="I16" s="14">
        <v>264</v>
      </c>
      <c r="J16" s="14">
        <v>3312.5</v>
      </c>
      <c r="K16" s="23">
        <v>164</v>
      </c>
    </row>
    <row r="17" spans="2:11">
      <c r="B17" s="13">
        <v>3370</v>
      </c>
      <c r="C17" s="14">
        <v>214</v>
      </c>
      <c r="D17" s="14">
        <v>3355</v>
      </c>
      <c r="E17" s="14">
        <v>199</v>
      </c>
      <c r="F17" s="14">
        <v>3355</v>
      </c>
      <c r="G17" s="14">
        <v>229</v>
      </c>
      <c r="H17" s="14">
        <v>3385</v>
      </c>
      <c r="I17" s="14">
        <v>229</v>
      </c>
      <c r="J17" s="14">
        <v>3385</v>
      </c>
      <c r="K17" s="23">
        <v>199</v>
      </c>
    </row>
    <row r="18" spans="2:11">
      <c r="B18" s="13">
        <v>4020</v>
      </c>
      <c r="C18" s="14">
        <v>-429</v>
      </c>
      <c r="D18" s="14">
        <v>3740</v>
      </c>
      <c r="E18" s="14">
        <v>-646.5</v>
      </c>
      <c r="F18" s="14">
        <v>3740</v>
      </c>
      <c r="G18" s="14">
        <v>-211.5</v>
      </c>
      <c r="H18" s="14">
        <v>4300</v>
      </c>
      <c r="I18" s="14">
        <v>-211.5</v>
      </c>
      <c r="J18" s="14">
        <v>4300</v>
      </c>
      <c r="K18" s="23">
        <v>-646.5</v>
      </c>
    </row>
    <row r="19" spans="2:11">
      <c r="B19" s="13">
        <v>6775</v>
      </c>
      <c r="C19" s="14">
        <v>20</v>
      </c>
      <c r="D19" s="14">
        <v>6752.5</v>
      </c>
      <c r="E19" s="14">
        <v>-100</v>
      </c>
      <c r="F19" s="14">
        <v>6752.5</v>
      </c>
      <c r="G19" s="14">
        <v>140</v>
      </c>
      <c r="H19" s="14">
        <v>6797.5</v>
      </c>
      <c r="I19" s="14">
        <v>140</v>
      </c>
      <c r="J19" s="14">
        <v>6797.5</v>
      </c>
      <c r="K19" s="23">
        <v>-100</v>
      </c>
    </row>
    <row r="20" spans="2:11">
      <c r="B20" s="13">
        <v>6790</v>
      </c>
      <c r="C20" s="14">
        <v>399</v>
      </c>
      <c r="D20" s="14">
        <v>6775</v>
      </c>
      <c r="E20" s="14">
        <v>386.5</v>
      </c>
      <c r="F20" s="14">
        <v>6775</v>
      </c>
      <c r="G20" s="14">
        <v>411.5</v>
      </c>
      <c r="H20" s="14">
        <v>6805</v>
      </c>
      <c r="I20" s="14">
        <v>411.5</v>
      </c>
      <c r="J20" s="14">
        <v>6805</v>
      </c>
      <c r="K20" s="23">
        <v>386.5</v>
      </c>
    </row>
    <row r="21" spans="2:11">
      <c r="B21" s="13">
        <v>6790</v>
      </c>
      <c r="C21" s="14">
        <v>214</v>
      </c>
      <c r="D21" s="14">
        <v>6780</v>
      </c>
      <c r="E21" s="14">
        <v>164</v>
      </c>
      <c r="F21" s="14">
        <v>6780</v>
      </c>
      <c r="G21" s="14">
        <v>264</v>
      </c>
      <c r="H21" s="14">
        <v>6800</v>
      </c>
      <c r="I21" s="14">
        <v>264</v>
      </c>
      <c r="J21" s="14">
        <v>6800</v>
      </c>
      <c r="K21" s="23">
        <v>164</v>
      </c>
    </row>
    <row r="22" spans="2:11">
      <c r="B22" s="13">
        <v>6795</v>
      </c>
      <c r="C22" s="14">
        <v>-194</v>
      </c>
      <c r="D22" s="14">
        <v>6790</v>
      </c>
      <c r="E22" s="14">
        <v>-214</v>
      </c>
      <c r="F22" s="14">
        <v>6790</v>
      </c>
      <c r="G22" s="14">
        <v>-174</v>
      </c>
      <c r="H22" s="14">
        <v>6800</v>
      </c>
      <c r="I22" s="14">
        <v>-174</v>
      </c>
      <c r="J22" s="14">
        <v>6800</v>
      </c>
      <c r="K22" s="23">
        <v>-214</v>
      </c>
    </row>
    <row r="23" spans="2:11">
      <c r="B23" s="13">
        <v>6795</v>
      </c>
      <c r="C23" s="14">
        <v>-349</v>
      </c>
      <c r="D23" s="14">
        <v>6782.5</v>
      </c>
      <c r="E23" s="14">
        <v>-389</v>
      </c>
      <c r="F23" s="14">
        <v>6782.5</v>
      </c>
      <c r="G23" s="14">
        <v>-309</v>
      </c>
      <c r="H23" s="14">
        <v>6807.5</v>
      </c>
      <c r="I23" s="14">
        <v>-309</v>
      </c>
      <c r="J23" s="14">
        <v>6807.5</v>
      </c>
      <c r="K23" s="23">
        <v>-389</v>
      </c>
    </row>
    <row r="24" spans="2:11">
      <c r="B24" s="13">
        <v>6845</v>
      </c>
      <c r="C24" s="14">
        <v>0</v>
      </c>
      <c r="D24" s="14">
        <v>6840</v>
      </c>
      <c r="E24" s="14">
        <v>-17.5</v>
      </c>
      <c r="F24" s="14">
        <v>6840</v>
      </c>
      <c r="G24" s="14">
        <v>17.5</v>
      </c>
      <c r="H24" s="14">
        <v>6850</v>
      </c>
      <c r="I24" s="14">
        <v>17.5</v>
      </c>
      <c r="J24" s="14">
        <v>6850</v>
      </c>
      <c r="K24" s="23">
        <v>-17.5</v>
      </c>
    </row>
    <row r="25" spans="2:11">
      <c r="B25" s="13">
        <v>6845</v>
      </c>
      <c r="C25" s="14">
        <v>334</v>
      </c>
      <c r="D25" s="14">
        <v>6835</v>
      </c>
      <c r="E25" s="14">
        <v>249</v>
      </c>
      <c r="F25" s="14">
        <v>6835</v>
      </c>
      <c r="G25" s="14">
        <v>419</v>
      </c>
      <c r="H25" s="14">
        <v>6855</v>
      </c>
      <c r="I25" s="14">
        <v>419</v>
      </c>
      <c r="J25" s="14">
        <v>6855</v>
      </c>
      <c r="K25" s="23">
        <v>249</v>
      </c>
    </row>
    <row r="26" spans="2:11">
      <c r="B26" s="13">
        <v>6850</v>
      </c>
      <c r="C26" s="14">
        <v>214</v>
      </c>
      <c r="D26" s="14">
        <v>6835</v>
      </c>
      <c r="E26" s="14">
        <v>199</v>
      </c>
      <c r="F26" s="14">
        <v>6835</v>
      </c>
      <c r="G26" s="14">
        <v>229</v>
      </c>
      <c r="H26" s="14">
        <v>6865</v>
      </c>
      <c r="I26" s="14">
        <v>229</v>
      </c>
      <c r="J26" s="14">
        <v>6865</v>
      </c>
      <c r="K26" s="23">
        <v>199</v>
      </c>
    </row>
    <row r="27" spans="2:11">
      <c r="B27" s="13">
        <v>6860</v>
      </c>
      <c r="C27" s="14">
        <v>90</v>
      </c>
      <c r="D27" s="14">
        <v>6840</v>
      </c>
      <c r="E27" s="14">
        <v>25</v>
      </c>
      <c r="F27" s="14">
        <v>6840</v>
      </c>
      <c r="G27" s="14">
        <v>155</v>
      </c>
      <c r="H27" s="14">
        <v>6880</v>
      </c>
      <c r="I27" s="14">
        <v>155</v>
      </c>
      <c r="J27" s="14">
        <v>6880</v>
      </c>
      <c r="K27" s="23">
        <v>25</v>
      </c>
    </row>
    <row r="28" spans="2:11">
      <c r="B28" s="13">
        <v>8260</v>
      </c>
      <c r="C28" s="14">
        <v>269</v>
      </c>
      <c r="D28" s="14">
        <v>8242.5</v>
      </c>
      <c r="E28" s="14">
        <v>241.5</v>
      </c>
      <c r="F28" s="14">
        <v>8242.5</v>
      </c>
      <c r="G28" s="14">
        <v>296.5</v>
      </c>
      <c r="H28" s="14">
        <v>8277.5</v>
      </c>
      <c r="I28" s="14">
        <v>296.5</v>
      </c>
      <c r="J28" s="14">
        <v>8277.5</v>
      </c>
      <c r="K28" s="23">
        <v>241.5</v>
      </c>
    </row>
    <row r="29" spans="2:11">
      <c r="B29" s="13">
        <v>8950</v>
      </c>
      <c r="C29" s="14">
        <v>-359</v>
      </c>
      <c r="D29" s="14">
        <v>8922.5</v>
      </c>
      <c r="E29" s="14">
        <v>-369</v>
      </c>
      <c r="F29" s="14">
        <v>8922.5</v>
      </c>
      <c r="G29" s="14">
        <v>-349</v>
      </c>
      <c r="H29" s="14">
        <v>8977.5</v>
      </c>
      <c r="I29" s="14">
        <v>-349</v>
      </c>
      <c r="J29" s="14">
        <v>8977.5</v>
      </c>
      <c r="K29" s="23">
        <v>-369</v>
      </c>
    </row>
    <row r="30" spans="2:11">
      <c r="B30" s="13">
        <v>9480</v>
      </c>
      <c r="C30" s="14">
        <v>-349</v>
      </c>
      <c r="D30" s="14">
        <v>9455</v>
      </c>
      <c r="E30" s="14">
        <v>-374</v>
      </c>
      <c r="F30" s="14">
        <v>9455</v>
      </c>
      <c r="G30" s="14">
        <v>-324</v>
      </c>
      <c r="H30" s="14">
        <v>9505</v>
      </c>
      <c r="I30" s="14">
        <v>-324</v>
      </c>
      <c r="J30" s="14">
        <v>9505</v>
      </c>
      <c r="K30" s="23">
        <v>-374</v>
      </c>
    </row>
    <row r="31" spans="2:11">
      <c r="B31" s="13">
        <v>10070</v>
      </c>
      <c r="C31" s="14">
        <v>0</v>
      </c>
      <c r="D31" s="14">
        <v>9990</v>
      </c>
      <c r="E31" s="14">
        <v>-429</v>
      </c>
      <c r="F31" s="14">
        <v>9990</v>
      </c>
      <c r="G31" s="14">
        <v>429</v>
      </c>
      <c r="H31" s="14">
        <v>10150</v>
      </c>
      <c r="I31" s="14">
        <v>429</v>
      </c>
      <c r="J31" s="14">
        <v>10150</v>
      </c>
      <c r="K31" s="23">
        <v>-429</v>
      </c>
    </row>
    <row r="32" spans="2:11">
      <c r="B32" s="13">
        <v>12130</v>
      </c>
      <c r="C32" s="14">
        <v>-429</v>
      </c>
      <c r="D32" s="14">
        <v>12105</v>
      </c>
      <c r="E32" s="14">
        <v>-479</v>
      </c>
      <c r="F32" s="14">
        <v>12105</v>
      </c>
      <c r="G32" s="14">
        <v>-379</v>
      </c>
      <c r="H32" s="14">
        <v>12155</v>
      </c>
      <c r="I32" s="14">
        <v>-379</v>
      </c>
      <c r="J32" s="14">
        <v>12155</v>
      </c>
      <c r="K32" s="23">
        <v>-479</v>
      </c>
    </row>
    <row r="33" spans="2:11">
      <c r="B33" s="13">
        <v>12750</v>
      </c>
      <c r="C33" s="14">
        <v>0</v>
      </c>
      <c r="D33" s="14">
        <v>12737.5</v>
      </c>
      <c r="E33" s="14">
        <v>-7.5</v>
      </c>
      <c r="F33" s="14">
        <v>12737.5</v>
      </c>
      <c r="G33" s="14">
        <v>7.5</v>
      </c>
      <c r="H33" s="14">
        <v>12762.5</v>
      </c>
      <c r="I33" s="14">
        <v>7.5</v>
      </c>
      <c r="J33" s="14">
        <v>12762.5</v>
      </c>
      <c r="K33" s="23">
        <v>-7.5</v>
      </c>
    </row>
    <row r="34" spans="2:11">
      <c r="B34" s="15">
        <v>13230</v>
      </c>
      <c r="C34" s="16">
        <v>130</v>
      </c>
      <c r="D34" s="16">
        <v>13220</v>
      </c>
      <c r="E34" s="16">
        <v>107.5</v>
      </c>
      <c r="F34" s="16">
        <v>13220</v>
      </c>
      <c r="G34" s="16">
        <v>152.5</v>
      </c>
      <c r="H34" s="16">
        <v>13240</v>
      </c>
      <c r="I34" s="16">
        <v>152.5</v>
      </c>
      <c r="J34" s="16">
        <v>13240</v>
      </c>
      <c r="K34" s="24">
        <v>107.5</v>
      </c>
    </row>
  </sheetData>
  <mergeCells count="2">
    <mergeCell ref="B2:C2"/>
    <mergeCell ref="D2:K2"/>
  </mergeCell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B1:K21"/>
  <sheetViews>
    <sheetView tabSelected="1" workbookViewId="0">
      <selection activeCell="P9" sqref="P9"/>
    </sheetView>
  </sheetViews>
  <sheetFormatPr defaultColWidth="9.14285714285714" defaultRowHeight="15"/>
  <sheetData>
    <row r="1" ht="15.75"/>
    <row r="2" ht="15.75" spans="2:11">
      <c r="B2" s="1" t="s">
        <v>26</v>
      </c>
      <c r="C2" s="2"/>
      <c r="D2" s="1" t="s">
        <v>146</v>
      </c>
      <c r="E2" s="3"/>
      <c r="F2" s="3"/>
      <c r="G2" s="3"/>
      <c r="H2" s="3"/>
      <c r="I2" s="3"/>
      <c r="J2" s="3"/>
      <c r="K2" s="3"/>
    </row>
    <row r="3" spans="2:11">
      <c r="B3" s="4" t="s">
        <v>33</v>
      </c>
      <c r="C3" s="5" t="s">
        <v>34</v>
      </c>
      <c r="D3" s="6" t="s">
        <v>35</v>
      </c>
      <c r="E3" s="7" t="s">
        <v>36</v>
      </c>
      <c r="F3" s="6" t="s">
        <v>37</v>
      </c>
      <c r="G3" s="8" t="s">
        <v>38</v>
      </c>
      <c r="H3" s="9" t="s">
        <v>39</v>
      </c>
      <c r="I3" s="7" t="s">
        <v>40</v>
      </c>
      <c r="J3" s="6" t="s">
        <v>41</v>
      </c>
      <c r="K3" s="7" t="s">
        <v>42</v>
      </c>
    </row>
    <row r="4" ht="15.75" spans="2:11">
      <c r="B4" s="10">
        <v>8207.5</v>
      </c>
      <c r="C4" s="10">
        <v>0</v>
      </c>
      <c r="D4" s="10">
        <v>0</v>
      </c>
      <c r="E4" s="10">
        <v>-425</v>
      </c>
      <c r="F4" s="10">
        <v>0</v>
      </c>
      <c r="G4" s="10">
        <v>425</v>
      </c>
      <c r="H4" s="10">
        <v>16415</v>
      </c>
      <c r="I4" s="10">
        <v>425</v>
      </c>
      <c r="J4" s="10">
        <v>16415</v>
      </c>
      <c r="K4" s="17">
        <v>-425</v>
      </c>
    </row>
    <row r="5" spans="2:11">
      <c r="B5" s="11">
        <v>165</v>
      </c>
      <c r="C5" s="12">
        <v>200</v>
      </c>
      <c r="D5" s="12">
        <v>30</v>
      </c>
      <c r="E5" s="12">
        <v>-25</v>
      </c>
      <c r="F5" s="12">
        <v>30</v>
      </c>
      <c r="G5" s="12">
        <v>425</v>
      </c>
      <c r="H5" s="12">
        <v>300</v>
      </c>
      <c r="I5" s="12">
        <v>425</v>
      </c>
      <c r="J5" s="12">
        <v>300</v>
      </c>
      <c r="K5" s="18">
        <v>-25</v>
      </c>
    </row>
    <row r="6" spans="2:11">
      <c r="B6" s="13">
        <v>475</v>
      </c>
      <c r="C6" s="14">
        <v>-400</v>
      </c>
      <c r="D6" s="14">
        <v>350</v>
      </c>
      <c r="E6" s="14">
        <v>-437.5</v>
      </c>
      <c r="F6" s="14">
        <v>350</v>
      </c>
      <c r="G6" s="14">
        <v>-362.5</v>
      </c>
      <c r="H6" s="14">
        <v>600</v>
      </c>
      <c r="I6" s="14">
        <v>-362.5</v>
      </c>
      <c r="J6" s="14">
        <v>600</v>
      </c>
      <c r="K6" s="19">
        <v>-437.5</v>
      </c>
    </row>
    <row r="7" spans="2:11">
      <c r="B7" s="13">
        <v>1018</v>
      </c>
      <c r="C7" s="14">
        <v>-50</v>
      </c>
      <c r="D7" s="14">
        <v>735.5</v>
      </c>
      <c r="E7" s="14">
        <v>-175</v>
      </c>
      <c r="F7" s="14">
        <v>735.5</v>
      </c>
      <c r="G7" s="14">
        <v>75</v>
      </c>
      <c r="H7" s="14">
        <v>1300.5</v>
      </c>
      <c r="I7" s="14">
        <v>75</v>
      </c>
      <c r="J7" s="14">
        <v>1300.5</v>
      </c>
      <c r="K7" s="19">
        <v>-175</v>
      </c>
    </row>
    <row r="8" spans="2:11">
      <c r="B8" s="13">
        <v>1350</v>
      </c>
      <c r="C8" s="14">
        <v>220</v>
      </c>
      <c r="D8" s="14">
        <v>1000</v>
      </c>
      <c r="E8" s="14">
        <v>110</v>
      </c>
      <c r="F8" s="14">
        <v>1000</v>
      </c>
      <c r="G8" s="14">
        <v>330</v>
      </c>
      <c r="H8" s="14">
        <v>1700</v>
      </c>
      <c r="I8" s="14">
        <v>330</v>
      </c>
      <c r="J8" s="14">
        <v>1700</v>
      </c>
      <c r="K8" s="19">
        <v>110</v>
      </c>
    </row>
    <row r="9" spans="2:11">
      <c r="B9" s="13">
        <v>1650</v>
      </c>
      <c r="C9" s="14">
        <v>-35</v>
      </c>
      <c r="D9" s="14">
        <v>1500</v>
      </c>
      <c r="E9" s="14">
        <v>-290</v>
      </c>
      <c r="F9" s="14">
        <v>1500</v>
      </c>
      <c r="G9" s="14">
        <v>220</v>
      </c>
      <c r="H9" s="14">
        <v>1800</v>
      </c>
      <c r="I9" s="14">
        <v>220</v>
      </c>
      <c r="J9" s="14">
        <v>1800</v>
      </c>
      <c r="K9" s="19">
        <v>-290</v>
      </c>
    </row>
    <row r="10" spans="2:11">
      <c r="B10" s="13">
        <v>2275</v>
      </c>
      <c r="C10" s="14">
        <v>-108</v>
      </c>
      <c r="D10" s="14">
        <v>1850</v>
      </c>
      <c r="E10" s="14">
        <v>-430.5</v>
      </c>
      <c r="F10" s="14">
        <v>1850</v>
      </c>
      <c r="G10" s="14">
        <v>214.5</v>
      </c>
      <c r="H10" s="14">
        <v>2700</v>
      </c>
      <c r="I10" s="14">
        <v>214.5</v>
      </c>
      <c r="J10" s="14">
        <v>2700</v>
      </c>
      <c r="K10" s="19">
        <v>-430.5</v>
      </c>
    </row>
    <row r="11" spans="2:11">
      <c r="B11" s="13">
        <v>3778</v>
      </c>
      <c r="C11" s="14">
        <v>-115</v>
      </c>
      <c r="D11" s="14">
        <v>2805.5</v>
      </c>
      <c r="E11" s="14">
        <v>-442.5</v>
      </c>
      <c r="F11" s="14">
        <v>2805.5</v>
      </c>
      <c r="G11" s="14">
        <v>212.5</v>
      </c>
      <c r="H11" s="14">
        <v>4750.5</v>
      </c>
      <c r="I11" s="14">
        <v>212.5</v>
      </c>
      <c r="J11" s="14">
        <v>4750.5</v>
      </c>
      <c r="K11" s="19">
        <v>-442.5</v>
      </c>
    </row>
    <row r="12" spans="2:11">
      <c r="B12" s="13">
        <v>5295</v>
      </c>
      <c r="C12" s="14">
        <v>-140</v>
      </c>
      <c r="D12" s="14">
        <v>5090</v>
      </c>
      <c r="E12" s="14">
        <v>-255</v>
      </c>
      <c r="F12" s="14">
        <v>5090</v>
      </c>
      <c r="G12" s="14">
        <v>-25</v>
      </c>
      <c r="H12" s="14">
        <v>5500</v>
      </c>
      <c r="I12" s="14">
        <v>-25</v>
      </c>
      <c r="J12" s="14">
        <v>5500</v>
      </c>
      <c r="K12" s="19">
        <v>-255</v>
      </c>
    </row>
    <row r="13" spans="2:11">
      <c r="B13" s="13">
        <v>6053</v>
      </c>
      <c r="C13" s="14">
        <v>-110</v>
      </c>
      <c r="D13" s="14">
        <v>5550.5</v>
      </c>
      <c r="E13" s="14">
        <v>-170</v>
      </c>
      <c r="F13" s="14">
        <v>5550.5</v>
      </c>
      <c r="G13" s="14">
        <v>-50</v>
      </c>
      <c r="H13" s="14">
        <v>6555.5</v>
      </c>
      <c r="I13" s="14">
        <v>-50</v>
      </c>
      <c r="J13" s="14">
        <v>6555.5</v>
      </c>
      <c r="K13" s="19">
        <v>-170</v>
      </c>
    </row>
    <row r="14" spans="2:11">
      <c r="B14" s="13">
        <v>6747</v>
      </c>
      <c r="C14" s="14">
        <v>-300</v>
      </c>
      <c r="D14" s="14">
        <v>6563.5</v>
      </c>
      <c r="E14" s="14">
        <v>-475</v>
      </c>
      <c r="F14" s="14">
        <v>6563.5</v>
      </c>
      <c r="G14" s="14">
        <v>-125</v>
      </c>
      <c r="H14" s="14">
        <v>6930.5</v>
      </c>
      <c r="I14" s="14">
        <v>-125</v>
      </c>
      <c r="J14" s="14">
        <v>6930.5</v>
      </c>
      <c r="K14" s="19">
        <v>-475</v>
      </c>
    </row>
    <row r="15" spans="2:11">
      <c r="B15" s="13">
        <v>7223</v>
      </c>
      <c r="C15" s="14">
        <v>110</v>
      </c>
      <c r="D15" s="14">
        <v>6980.5</v>
      </c>
      <c r="E15" s="14">
        <v>-100</v>
      </c>
      <c r="F15" s="14">
        <v>6980.5</v>
      </c>
      <c r="G15" s="14">
        <v>320</v>
      </c>
      <c r="H15" s="14">
        <v>7465.5</v>
      </c>
      <c r="I15" s="14">
        <v>320</v>
      </c>
      <c r="J15" s="14">
        <v>7465.5</v>
      </c>
      <c r="K15" s="19">
        <v>-100</v>
      </c>
    </row>
    <row r="16" spans="2:11">
      <c r="B16" s="13">
        <v>7743</v>
      </c>
      <c r="C16" s="14">
        <v>-30</v>
      </c>
      <c r="D16" s="14">
        <v>7435.5</v>
      </c>
      <c r="E16" s="14">
        <v>-285</v>
      </c>
      <c r="F16" s="14">
        <v>7435.5</v>
      </c>
      <c r="G16" s="14">
        <v>225</v>
      </c>
      <c r="H16" s="14">
        <v>8050.5</v>
      </c>
      <c r="I16" s="14">
        <v>225</v>
      </c>
      <c r="J16" s="14">
        <v>8050.5</v>
      </c>
      <c r="K16" s="19">
        <v>-285</v>
      </c>
    </row>
    <row r="17" spans="2:11">
      <c r="B17" s="13">
        <v>9200</v>
      </c>
      <c r="C17" s="14">
        <v>-60</v>
      </c>
      <c r="D17" s="14">
        <v>8900</v>
      </c>
      <c r="E17" s="14">
        <v>-135</v>
      </c>
      <c r="F17" s="14">
        <v>8900</v>
      </c>
      <c r="G17" s="14">
        <v>15</v>
      </c>
      <c r="H17" s="14">
        <v>9500</v>
      </c>
      <c r="I17" s="14">
        <v>15</v>
      </c>
      <c r="J17" s="14">
        <v>9500</v>
      </c>
      <c r="K17" s="19">
        <v>-135</v>
      </c>
    </row>
    <row r="18" spans="2:11">
      <c r="B18" s="13">
        <v>12518</v>
      </c>
      <c r="C18" s="14">
        <v>-215</v>
      </c>
      <c r="D18" s="14">
        <v>10335.5</v>
      </c>
      <c r="E18" s="14">
        <v>-460</v>
      </c>
      <c r="F18" s="14">
        <v>10335.5</v>
      </c>
      <c r="G18" s="14">
        <v>30</v>
      </c>
      <c r="H18" s="14">
        <v>14700.5</v>
      </c>
      <c r="I18" s="14">
        <v>30</v>
      </c>
      <c r="J18" s="14">
        <v>14700.5</v>
      </c>
      <c r="K18" s="19">
        <v>-460</v>
      </c>
    </row>
    <row r="19" spans="2:11">
      <c r="B19" s="13">
        <v>14850</v>
      </c>
      <c r="C19" s="14">
        <v>-420</v>
      </c>
      <c r="D19" s="14">
        <v>14700</v>
      </c>
      <c r="E19" s="14">
        <v>-655</v>
      </c>
      <c r="F19" s="14">
        <v>14700</v>
      </c>
      <c r="G19" s="14">
        <v>-185</v>
      </c>
      <c r="H19" s="14">
        <v>15000</v>
      </c>
      <c r="I19" s="14">
        <v>-185</v>
      </c>
      <c r="J19" s="14">
        <v>15000</v>
      </c>
      <c r="K19" s="19">
        <v>-655</v>
      </c>
    </row>
    <row r="20" spans="2:11">
      <c r="B20" s="13">
        <v>15490</v>
      </c>
      <c r="C20" s="14">
        <v>300</v>
      </c>
      <c r="D20" s="14">
        <v>15350</v>
      </c>
      <c r="E20" s="14">
        <v>225</v>
      </c>
      <c r="F20" s="14">
        <v>15350</v>
      </c>
      <c r="G20" s="14">
        <v>375</v>
      </c>
      <c r="H20" s="14">
        <v>15630</v>
      </c>
      <c r="I20" s="14">
        <v>375</v>
      </c>
      <c r="J20" s="14">
        <v>15630</v>
      </c>
      <c r="K20" s="19">
        <v>225</v>
      </c>
    </row>
    <row r="21" spans="2:11">
      <c r="B21" s="15">
        <v>16025</v>
      </c>
      <c r="C21" s="16">
        <v>355</v>
      </c>
      <c r="D21" s="16">
        <v>15634</v>
      </c>
      <c r="E21" s="16">
        <v>-2</v>
      </c>
      <c r="F21" s="16">
        <v>15634</v>
      </c>
      <c r="G21" s="16">
        <v>712</v>
      </c>
      <c r="H21" s="16">
        <v>16416</v>
      </c>
      <c r="I21" s="16">
        <v>712</v>
      </c>
      <c r="J21" s="16">
        <v>16416</v>
      </c>
      <c r="K21" s="20">
        <v>-2</v>
      </c>
    </row>
  </sheetData>
  <mergeCells count="2">
    <mergeCell ref="B2:C2"/>
    <mergeCell ref="D2:K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Data1</vt:lpstr>
      <vt:lpstr>Data 2</vt:lpstr>
      <vt:lpstr>Welding Joint</vt:lpstr>
      <vt:lpstr>summary</vt:lpstr>
      <vt:lpstr>summary2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2018-08-20T06:40:00Z</dcterms:created>
  <dcterms:modified xsi:type="dcterms:W3CDTF">2018-08-26T03:43:04Z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1033-10.2.0.7456</vt:lpwstr>
  </property>
</Properties>
</file>
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0385" windowHeight="8355" activeTab="2"/>
  </bookViews>
  <sheets>
    <sheet name="10&quot;-FW-632-1101 S1" sheetId="3" r:id="rId1"/>
    <sheet name="Summary" sheetId="4" r:id="rId2"/>
    <sheet name="Diagram" sheetId="5" r:id="rId3"/>
  </sheets>
  <calcPr calcId="144525"/>
</workbook>
</file>

<file path=xl/sharedStrings.xml><?xml version="1.0" encoding="utf-8"?>
<sst xmlns="http://schemas.openxmlformats.org/spreadsheetml/2006/main" count="110">
  <si>
    <t>10"-FW-632-1101 Scheme 1</t>
  </si>
  <si>
    <t>№</t>
  </si>
  <si>
    <t>Description</t>
  </si>
  <si>
    <t>Distance between Points, mm</t>
  </si>
  <si>
    <t>Distance from Start, mm</t>
  </si>
  <si>
    <t>Start of Inspection, Weld Joint WJ1-1</t>
  </si>
  <si>
    <t>WJ1-2</t>
  </si>
  <si>
    <t>Center of Flange</t>
  </si>
  <si>
    <t>WJ1-3</t>
  </si>
  <si>
    <t>Center of Elbow, D-45</t>
  </si>
  <si>
    <t>WJ1-4</t>
  </si>
  <si>
    <t>WJ1-5</t>
  </si>
  <si>
    <t>Center of Elbow, H-45</t>
  </si>
  <si>
    <t>WJ1-6</t>
  </si>
  <si>
    <t>Support, S-1</t>
  </si>
  <si>
    <t>WJ1-7</t>
  </si>
  <si>
    <t>Center of Valve</t>
  </si>
  <si>
    <t>WJ1-8</t>
  </si>
  <si>
    <t>WJ1-9</t>
  </si>
  <si>
    <t>WJ1-10</t>
  </si>
  <si>
    <t>Support, S-2</t>
  </si>
  <si>
    <t>WJ1-11</t>
  </si>
  <si>
    <t>Center of Elbow, U-90</t>
  </si>
  <si>
    <t>WJ1-12</t>
  </si>
  <si>
    <t>WJ1-13</t>
  </si>
  <si>
    <t>WJ1-14</t>
  </si>
  <si>
    <t>Center of Elbow, L90</t>
  </si>
  <si>
    <t>WJ1-15</t>
  </si>
  <si>
    <t>WJ1-16</t>
  </si>
  <si>
    <t>Center of Tee</t>
  </si>
  <si>
    <t>WJ1-17</t>
  </si>
  <si>
    <t>Support, S-3</t>
  </si>
  <si>
    <t>WJ1-18</t>
  </si>
  <si>
    <t>WJ1-19</t>
  </si>
  <si>
    <t>WJ1-20</t>
  </si>
  <si>
    <t>WJ1-21, End of Inspection</t>
  </si>
  <si>
    <t>Number</t>
  </si>
  <si>
    <t>Distance</t>
  </si>
  <si>
    <t>Ref. Weld</t>
  </si>
  <si>
    <t>Defect distance from ref. weld, mm</t>
  </si>
  <si>
    <t>Defect orientation</t>
  </si>
  <si>
    <t>Defect dimensions, mm</t>
  </si>
  <si>
    <t>Defect type</t>
  </si>
  <si>
    <t>Internal/</t>
  </si>
  <si>
    <t>Specified</t>
  </si>
  <si>
    <t>Defect depth %,</t>
  </si>
  <si>
    <t>of defect</t>
  </si>
  <si>
    <t>from section start, mm</t>
  </si>
  <si>
    <t>External</t>
  </si>
  <si>
    <t>thickness, mm</t>
  </si>
  <si>
    <t>d (%) =</t>
  </si>
  <si>
    <t>U/S</t>
  </si>
  <si>
    <t>D/S</t>
  </si>
  <si>
    <t>Rotations</t>
  </si>
  <si>
    <t>Distance from</t>
  </si>
  <si>
    <t>hh:mm</t>
  </si>
  <si>
    <t>Length</t>
  </si>
  <si>
    <t>Width</t>
  </si>
  <si>
    <t>Max depth</t>
  </si>
  <si>
    <r>
      <rPr>
        <b/>
        <i/>
        <sz val="7"/>
        <color theme="1"/>
        <rFont val="Arial"/>
        <charset val="134"/>
      </rPr>
      <t xml:space="preserve">d/t </t>
    </r>
    <r>
      <rPr>
        <b/>
        <i/>
        <sz val="7"/>
        <color theme="1"/>
        <rFont val="Symbol"/>
        <charset val="134"/>
      </rPr>
      <t>´</t>
    </r>
    <r>
      <rPr>
        <b/>
        <i/>
        <sz val="7"/>
        <color theme="1"/>
        <rFont val="Arial"/>
        <charset val="134"/>
      </rPr>
      <t xml:space="preserve"> 100%</t>
    </r>
  </si>
  <si>
    <t>direction</t>
  </si>
  <si>
    <t>12 o'clock, mm</t>
  </si>
  <si>
    <t>L</t>
  </si>
  <si>
    <t>W</t>
  </si>
  <si>
    <t>d</t>
  </si>
  <si>
    <t>DF-1</t>
  </si>
  <si>
    <t>WJ 3</t>
  </si>
  <si>
    <t>-</t>
  </si>
  <si>
    <t>Anticlockwise</t>
  </si>
  <si>
    <t>CORR</t>
  </si>
  <si>
    <t>DF-2</t>
  </si>
  <si>
    <t>DF-3</t>
  </si>
  <si>
    <t>DF-4</t>
  </si>
  <si>
    <t>Clockwise</t>
  </si>
  <si>
    <t>DF-5</t>
  </si>
  <si>
    <t>DF-6</t>
  </si>
  <si>
    <t>WJ 5</t>
  </si>
  <si>
    <t>DF-7</t>
  </si>
  <si>
    <t>DF-8</t>
  </si>
  <si>
    <t>WJ 6</t>
  </si>
  <si>
    <t>DF-9</t>
  </si>
  <si>
    <t>WJ 7</t>
  </si>
  <si>
    <t>DF-10</t>
  </si>
  <si>
    <t>DF-11</t>
  </si>
  <si>
    <t>DF-12</t>
  </si>
  <si>
    <t>DF-13</t>
  </si>
  <si>
    <t>DF-14</t>
  </si>
  <si>
    <t>DF-15</t>
  </si>
  <si>
    <t>WJ 10</t>
  </si>
  <si>
    <t>DF-16</t>
  </si>
  <si>
    <t>DF-17</t>
  </si>
  <si>
    <t>DF-18</t>
  </si>
  <si>
    <t>DF-19</t>
  </si>
  <si>
    <t>DF-20</t>
  </si>
  <si>
    <t>DF-21</t>
  </si>
  <si>
    <t>DF-22</t>
  </si>
  <si>
    <t>DF-23</t>
  </si>
  <si>
    <t>DF-24</t>
  </si>
  <si>
    <t>WJ 11</t>
  </si>
  <si>
    <t>DF-25</t>
  </si>
  <si>
    <t>WJ 12</t>
  </si>
  <si>
    <t>DF-26</t>
  </si>
  <si>
    <t>DF-27</t>
  </si>
  <si>
    <t>DF-28</t>
  </si>
  <si>
    <t>WJ 14</t>
  </si>
  <si>
    <t>DF-29</t>
  </si>
  <si>
    <t>WJ 15</t>
  </si>
  <si>
    <t>DF-30</t>
  </si>
  <si>
    <t>WJ 16</t>
  </si>
  <si>
    <t>Diameter</t>
  </si>
</sst>
</file>

<file path=xl/styles.xml><?xml version="1.0" encoding="utf-8"?>
<styleSheet xmlns="http://schemas.openxmlformats.org/spreadsheetml/2006/main">
  <numFmts count="4">
    <numFmt numFmtId="176" formatCode="_ * #,##0_ ;_ * \-#,##0_ ;_ * &quot;-&quot;_ ;_ @_ "/>
    <numFmt numFmtId="44" formatCode="_(&quot;$&quot;* #,##0.00_);_(&quot;$&quot;* \(#,##0.00\);_(&quot;$&quot;* &quot;-&quot;??_);_(@_)"/>
    <numFmt numFmtId="42" formatCode="_(&quot;$&quot;* #,##0_);_(&quot;$&quot;* \(#,##0\);_(&quot;$&quot;* &quot;-&quot;_);_(@_)"/>
    <numFmt numFmtId="177" formatCode="_ * #,##0.00_ ;_ * \-#,##0.00_ ;_ * &quot;-&quot;??_ ;_ @_ "/>
  </numFmts>
  <fonts count="28">
    <font>
      <sz val="11"/>
      <color theme="1"/>
      <name val="Calibri"/>
      <charset val="134"/>
      <scheme val="minor"/>
    </font>
    <font>
      <b/>
      <i/>
      <sz val="7"/>
      <color theme="1"/>
      <name val="Arial"/>
      <charset val="134"/>
    </font>
    <font>
      <b/>
      <i/>
      <sz val="7"/>
      <color rgb="FF000000"/>
      <name val="Arial"/>
      <charset val="134"/>
    </font>
    <font>
      <sz val="7"/>
      <color rgb="FF000000"/>
      <name val="Arial"/>
      <charset val="134"/>
    </font>
    <font>
      <sz val="11"/>
      <color theme="1"/>
      <name val="Arial"/>
      <charset val="204"/>
    </font>
    <font>
      <b/>
      <sz val="14"/>
      <color theme="1"/>
      <name val="Arial"/>
      <charset val="204"/>
    </font>
    <font>
      <b/>
      <i/>
      <sz val="11"/>
      <color theme="1"/>
      <name val="Arial"/>
      <charset val="204"/>
    </font>
    <font>
      <b/>
      <i/>
      <sz val="11"/>
      <color rgb="FF000000"/>
      <name val="Arial"/>
      <charset val="204"/>
    </font>
    <font>
      <sz val="11"/>
      <color theme="0"/>
      <name val="Calibri"/>
      <charset val="0"/>
      <scheme val="minor"/>
    </font>
    <font>
      <b/>
      <sz val="11"/>
      <color rgb="FF3F3F3F"/>
      <name val="Calibri"/>
      <charset val="0"/>
      <scheme val="minor"/>
    </font>
    <font>
      <sz val="11"/>
      <color rgb="FFFF0000"/>
      <name val="Calibri"/>
      <charset val="0"/>
      <scheme val="minor"/>
    </font>
    <font>
      <b/>
      <sz val="11"/>
      <color rgb="FFFFFFFF"/>
      <name val="Calibri"/>
      <charset val="0"/>
      <scheme val="minor"/>
    </font>
    <font>
      <b/>
      <sz val="13"/>
      <color theme="3"/>
      <name val="Calibri"/>
      <charset val="134"/>
      <scheme val="minor"/>
    </font>
    <font>
      <sz val="11"/>
      <color rgb="FF006100"/>
      <name val="Calibri"/>
      <charset val="0"/>
      <scheme val="minor"/>
    </font>
    <font>
      <b/>
      <sz val="11"/>
      <color theme="3"/>
      <name val="Calibri"/>
      <charset val="134"/>
      <scheme val="minor"/>
    </font>
    <font>
      <i/>
      <sz val="11"/>
      <color rgb="FF7F7F7F"/>
      <name val="Calibri"/>
      <charset val="0"/>
      <scheme val="minor"/>
    </font>
    <font>
      <u/>
      <sz val="11"/>
      <color rgb="FF800080"/>
      <name val="Calibri"/>
      <charset val="0"/>
      <scheme val="minor"/>
    </font>
    <font>
      <sz val="11"/>
      <color theme="1"/>
      <name val="Calibri"/>
      <charset val="0"/>
      <scheme val="minor"/>
    </font>
    <font>
      <sz val="11"/>
      <color rgb="FF9C0006"/>
      <name val="Calibri"/>
      <charset val="0"/>
      <scheme val="minor"/>
    </font>
    <font>
      <sz val="11"/>
      <color rgb="FFFA7D00"/>
      <name val="Calibri"/>
      <charset val="0"/>
      <scheme val="minor"/>
    </font>
    <font>
      <b/>
      <sz val="18"/>
      <color theme="3"/>
      <name val="Calibri"/>
      <charset val="134"/>
      <scheme val="minor"/>
    </font>
    <font>
      <u/>
      <sz val="11"/>
      <color rgb="FF0000FF"/>
      <name val="Calibri"/>
      <charset val="0"/>
      <scheme val="minor"/>
    </font>
    <font>
      <b/>
      <sz val="15"/>
      <color theme="3"/>
      <name val="Calibri"/>
      <charset val="134"/>
      <scheme val="minor"/>
    </font>
    <font>
      <b/>
      <sz val="11"/>
      <color rgb="FFFA7D00"/>
      <name val="Calibri"/>
      <charset val="0"/>
      <scheme val="minor"/>
    </font>
    <font>
      <sz val="11"/>
      <color rgb="FF3F3F76"/>
      <name val="Calibri"/>
      <charset val="0"/>
      <scheme val="minor"/>
    </font>
    <font>
      <b/>
      <sz val="11"/>
      <color theme="1"/>
      <name val="Calibri"/>
      <charset val="0"/>
      <scheme val="minor"/>
    </font>
    <font>
      <sz val="11"/>
      <color rgb="FF9C6500"/>
      <name val="Calibri"/>
      <charset val="0"/>
      <scheme val="minor"/>
    </font>
    <font>
      <b/>
      <i/>
      <sz val="7"/>
      <color theme="1"/>
      <name val="Symbol"/>
      <charset val="134"/>
    </font>
  </fonts>
  <fills count="36">
    <fill>
      <patternFill patternType="none"/>
    </fill>
    <fill>
      <patternFill patternType="gray125"/>
    </fill>
    <fill>
      <patternFill patternType="solid">
        <fgColor rgb="FFD8D8D8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</fills>
  <borders count="16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0" fontId="17" fillId="21" borderId="0" applyNumberFormat="0" applyBorder="0" applyAlignment="0" applyProtection="0">
      <alignment vertical="center"/>
    </xf>
    <xf numFmtId="177" fontId="0" fillId="0" borderId="0" applyFont="0" applyFill="0" applyBorder="0" applyAlignment="0" applyProtection="0">
      <alignment vertical="center"/>
    </xf>
    <xf numFmtId="176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1" fillId="8" borderId="9" applyNumberFormat="0" applyAlignment="0" applyProtection="0">
      <alignment vertical="center"/>
    </xf>
    <xf numFmtId="0" fontId="12" fillId="0" borderId="10" applyNumberFormat="0" applyFill="0" applyAlignment="0" applyProtection="0">
      <alignment vertical="center"/>
    </xf>
    <xf numFmtId="0" fontId="0" fillId="18" borderId="13" applyNumberFormat="0" applyFont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7" fillId="26" borderId="0" applyNumberFormat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7" fillId="27" borderId="0" applyNumberFormat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22" fillId="0" borderId="10" applyNumberFormat="0" applyFill="0" applyAlignment="0" applyProtection="0">
      <alignment vertical="center"/>
    </xf>
    <xf numFmtId="0" fontId="14" fillId="0" borderId="12" applyNumberFormat="0" applyFill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24" fillId="25" borderId="14" applyNumberFormat="0" applyAlignment="0" applyProtection="0">
      <alignment vertical="center"/>
    </xf>
    <xf numFmtId="0" fontId="8" fillId="20" borderId="0" applyNumberFormat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  <xf numFmtId="0" fontId="9" fillId="7" borderId="8" applyNumberFormat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23" fillId="7" borderId="14" applyNumberFormat="0" applyAlignment="0" applyProtection="0">
      <alignment vertical="center"/>
    </xf>
    <xf numFmtId="0" fontId="19" fillId="0" borderId="11" applyNumberFormat="0" applyFill="0" applyAlignment="0" applyProtection="0">
      <alignment vertical="center"/>
    </xf>
    <xf numFmtId="0" fontId="25" fillId="0" borderId="15" applyNumberFormat="0" applyFill="0" applyAlignment="0" applyProtection="0">
      <alignment vertical="center"/>
    </xf>
    <xf numFmtId="0" fontId="18" fillId="14" borderId="0" applyNumberFormat="0" applyBorder="0" applyAlignment="0" applyProtection="0">
      <alignment vertical="center"/>
    </xf>
    <xf numFmtId="0" fontId="26" fillId="31" borderId="0" applyNumberFormat="0" applyBorder="0" applyAlignment="0" applyProtection="0">
      <alignment vertical="center"/>
    </xf>
    <xf numFmtId="0" fontId="8" fillId="17" borderId="0" applyNumberFormat="0" applyBorder="0" applyAlignment="0" applyProtection="0">
      <alignment vertical="center"/>
    </xf>
    <xf numFmtId="0" fontId="17" fillId="19" borderId="0" applyNumberFormat="0" applyBorder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8" fillId="32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8" fillId="33" borderId="0" applyNumberFormat="0" applyBorder="0" applyAlignment="0" applyProtection="0">
      <alignment vertical="center"/>
    </xf>
    <xf numFmtId="0" fontId="8" fillId="9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8" fillId="6" borderId="0" applyNumberFormat="0" applyBorder="0" applyAlignment="0" applyProtection="0">
      <alignment vertical="center"/>
    </xf>
    <xf numFmtId="0" fontId="17" fillId="23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17" fillId="35" borderId="0" applyNumberFormat="0" applyBorder="0" applyAlignment="0" applyProtection="0">
      <alignment vertical="center"/>
    </xf>
    <xf numFmtId="0" fontId="8" fillId="12" borderId="0" applyNumberFormat="0" applyBorder="0" applyAlignment="0" applyProtection="0">
      <alignment vertical="center"/>
    </xf>
    <xf numFmtId="0" fontId="8" fillId="5" borderId="0" applyNumberFormat="0" applyBorder="0" applyAlignment="0" applyProtection="0">
      <alignment vertical="center"/>
    </xf>
    <xf numFmtId="0" fontId="17" fillId="30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</cellStyleXfs>
  <cellXfs count="24">
    <xf numFmtId="0" fontId="0" fillId="0" borderId="0" xfId="0"/>
    <xf numFmtId="0" fontId="1" fillId="2" borderId="1" xfId="0" applyFont="1" applyFill="1" applyBorder="1" applyAlignment="1">
      <alignment horizontal="center" wrapText="1"/>
    </xf>
    <xf numFmtId="0" fontId="1" fillId="2" borderId="2" xfId="0" applyFont="1" applyFill="1" applyBorder="1" applyAlignment="1">
      <alignment horizontal="center" wrapText="1"/>
    </xf>
    <xf numFmtId="0" fontId="2" fillId="2" borderId="3" xfId="0" applyFont="1" applyFill="1" applyBorder="1" applyAlignment="1">
      <alignment horizontal="center" wrapText="1"/>
    </xf>
    <xf numFmtId="0" fontId="1" fillId="2" borderId="3" xfId="0" applyFont="1" applyFill="1" applyBorder="1" applyAlignment="1">
      <alignment horizontal="center" wrapText="1"/>
    </xf>
    <xf numFmtId="0" fontId="1" fillId="2" borderId="4" xfId="0" applyFont="1" applyFill="1" applyBorder="1" applyAlignment="1">
      <alignment horizontal="center" wrapText="1"/>
    </xf>
    <xf numFmtId="0" fontId="0" fillId="0" borderId="4" xfId="0" applyBorder="1"/>
    <xf numFmtId="0" fontId="2" fillId="2" borderId="5" xfId="0" applyFont="1" applyFill="1" applyBorder="1" applyAlignment="1">
      <alignment horizontal="center" wrapText="1"/>
    </xf>
    <xf numFmtId="0" fontId="0" fillId="0" borderId="5" xfId="0" applyBorder="1"/>
    <xf numFmtId="0" fontId="1" fillId="2" borderId="5" xfId="0" applyFont="1" applyFill="1" applyBorder="1" applyAlignment="1">
      <alignment horizontal="center" wrapText="1"/>
    </xf>
    <xf numFmtId="0" fontId="3" fillId="0" borderId="6" xfId="0" applyFont="1" applyBorder="1" applyAlignment="1">
      <alignment horizontal="center" wrapText="1"/>
    </xf>
    <xf numFmtId="0" fontId="3" fillId="0" borderId="5" xfId="0" applyFont="1" applyBorder="1" applyAlignment="1">
      <alignment horizontal="center" wrapText="1"/>
    </xf>
    <xf numFmtId="20" fontId="3" fillId="0" borderId="5" xfId="0" applyNumberFormat="1" applyFont="1" applyBorder="1" applyAlignment="1">
      <alignment horizontal="center" wrapText="1"/>
    </xf>
    <xf numFmtId="0" fontId="4" fillId="0" borderId="0" xfId="0" applyFont="1"/>
    <xf numFmtId="0" fontId="5" fillId="0" borderId="0" xfId="0" applyFont="1"/>
    <xf numFmtId="0" fontId="6" fillId="3" borderId="7" xfId="0" applyFont="1" applyFill="1" applyBorder="1" applyAlignment="1">
      <alignment horizontal="center" vertical="center" wrapText="1"/>
    </xf>
    <xf numFmtId="0" fontId="7" fillId="3" borderId="7" xfId="0" applyFont="1" applyFill="1" applyBorder="1" applyAlignment="1">
      <alignment horizontal="center" vertical="center" wrapText="1"/>
    </xf>
    <xf numFmtId="0" fontId="4" fillId="4" borderId="7" xfId="0" applyFont="1" applyFill="1" applyBorder="1" applyAlignment="1">
      <alignment horizontal="center"/>
    </xf>
    <xf numFmtId="0" fontId="4" fillId="4" borderId="7" xfId="0" applyFont="1" applyFill="1" applyBorder="1" applyAlignment="1">
      <alignment horizontal="left" vertical="center"/>
    </xf>
    <xf numFmtId="3" fontId="4" fillId="4" borderId="7" xfId="0" applyNumberFormat="1" applyFont="1" applyFill="1" applyBorder="1" applyAlignment="1">
      <alignment horizontal="center"/>
    </xf>
    <xf numFmtId="0" fontId="4" fillId="0" borderId="7" xfId="0" applyFont="1" applyFill="1" applyBorder="1" applyAlignment="1">
      <alignment horizontal="center"/>
    </xf>
    <xf numFmtId="0" fontId="4" fillId="0" borderId="7" xfId="0" applyFont="1" applyFill="1" applyBorder="1" applyAlignment="1">
      <alignment horizontal="left" vertical="center"/>
    </xf>
    <xf numFmtId="3" fontId="4" fillId="0" borderId="7" xfId="0" applyNumberFormat="1" applyFont="1" applyFill="1" applyBorder="1" applyAlignment="1">
      <alignment horizontal="center"/>
    </xf>
    <xf numFmtId="0" fontId="4" fillId="0" borderId="0" xfId="0" applyFont="1" applyAlignment="1">
      <alignment horizontal="left" vertical="center"/>
    </xf>
  </cellXfs>
  <cellStyles count="49">
    <cellStyle name="Normal" xfId="0" builtinId="0"/>
    <cellStyle name="40% - Accent1" xfId="1" builtinId="31"/>
    <cellStyle name="Comma" xfId="2" builtinId="3"/>
    <cellStyle name="Comma [0]" xfId="3" builtinId="6"/>
    <cellStyle name="Currency [0]" xfId="4" builtinId="7"/>
    <cellStyle name="Currency" xfId="5" builtinId="4"/>
    <cellStyle name="Percent" xfId="6" builtinId="5"/>
    <cellStyle name="Check Cell" xfId="7" builtinId="23"/>
    <cellStyle name="Heading 2" xfId="8" builtinId="17"/>
    <cellStyle name="Note" xfId="9" builtinId="10"/>
    <cellStyle name="Hyperlink" xfId="10" builtinId="8"/>
    <cellStyle name="60% - Accent4" xfId="11" builtinId="44"/>
    <cellStyle name="Followed Hyperlink" xfId="12" builtinId="9"/>
    <cellStyle name="40% - Accent3" xfId="13" builtinId="39"/>
    <cellStyle name="Warning Text" xfId="14" builtinId="11"/>
    <cellStyle name="40% - Accent2" xfId="15" builtinId="35"/>
    <cellStyle name="Title" xfId="16" builtinId="15"/>
    <cellStyle name="CExplanatory Text" xfId="17" builtinId="53"/>
    <cellStyle name="Heading 1" xfId="18" builtinId="16"/>
    <cellStyle name="Heading 3" xfId="19" builtinId="18"/>
    <cellStyle name="Heading 4" xfId="20" builtinId="19"/>
    <cellStyle name="Input" xfId="21" builtinId="20"/>
    <cellStyle name="60% - Accent3" xfId="22" builtinId="40"/>
    <cellStyle name="Good" xfId="23" builtinId="26"/>
    <cellStyle name="Output" xfId="24" builtinId="21"/>
    <cellStyle name="20% - Accent1" xfId="25" builtinId="30"/>
    <cellStyle name="Calculation" xfId="26" builtinId="22"/>
    <cellStyle name="Linked Cell" xfId="27" builtinId="24"/>
    <cellStyle name="Total" xfId="28" builtinId="25"/>
    <cellStyle name="Bad" xfId="29" builtinId="27"/>
    <cellStyle name="Neutral" xfId="30" builtinId="28"/>
    <cellStyle name="Accent1" xfId="31" builtinId="29"/>
    <cellStyle name="20% - Accent5" xfId="32" builtinId="46"/>
    <cellStyle name="60% - Accent1" xfId="33" builtinId="32"/>
    <cellStyle name="Accent2" xfId="34" builtinId="33"/>
    <cellStyle name="20% - Accent2" xfId="35" builtinId="34"/>
    <cellStyle name="20% - Accent6" xfId="36" builtinId="50"/>
    <cellStyle name="60% - Accent2" xfId="37" builtinId="36"/>
    <cellStyle name="Accent3" xfId="38" builtinId="37"/>
    <cellStyle name="20% - Accent3" xfId="39" builtinId="38"/>
    <cellStyle name="Accent4" xfId="40" builtinId="41"/>
    <cellStyle name="20% - Accent4" xfId="41" builtinId="42"/>
    <cellStyle name="40% - Accent4" xfId="42" builtinId="43"/>
    <cellStyle name="Accent5" xfId="43" builtinId="45"/>
    <cellStyle name="40% - Accent5" xfId="44" builtinId="47"/>
    <cellStyle name="60% - Accent5" xfId="45" builtinId="48"/>
    <cellStyle name="Accent6" xfId="46" builtinId="49"/>
    <cellStyle name="40% - Accent6" xfId="47" builtinId="51"/>
    <cellStyle name="60% - Accent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B2:E40"/>
  <sheetViews>
    <sheetView zoomScale="85" zoomScaleNormal="85" workbookViewId="0">
      <selection activeCell="I4" sqref="I4"/>
    </sheetView>
  </sheetViews>
  <sheetFormatPr defaultColWidth="9.1047619047619" defaultRowHeight="14.25" outlineLevelCol="4"/>
  <cols>
    <col min="1" max="1" width="9.1047619047619" style="13"/>
    <col min="2" max="2" width="11.6666666666667" style="13" customWidth="1"/>
    <col min="3" max="3" width="35.1047619047619" style="13" customWidth="1"/>
    <col min="4" max="4" width="18.552380952381" style="13" customWidth="1"/>
    <col min="5" max="5" width="19.6666666666667" style="13" customWidth="1"/>
    <col min="6" max="16384" width="9.1047619047619" style="13"/>
  </cols>
  <sheetData>
    <row r="2" ht="18" spans="2:2">
      <c r="B2" s="14" t="s">
        <v>0</v>
      </c>
    </row>
    <row r="4" ht="45" spans="2:5">
      <c r="B4" s="15" t="s">
        <v>1</v>
      </c>
      <c r="C4" s="16" t="s">
        <v>2</v>
      </c>
      <c r="D4" s="16" t="s">
        <v>3</v>
      </c>
      <c r="E4" s="16" t="s">
        <v>4</v>
      </c>
    </row>
    <row r="5" spans="2:5">
      <c r="B5" s="17">
        <v>1</v>
      </c>
      <c r="C5" s="18" t="s">
        <v>5</v>
      </c>
      <c r="D5" s="19">
        <v>0</v>
      </c>
      <c r="E5" s="19">
        <f>D5</f>
        <v>0</v>
      </c>
    </row>
    <row r="6" spans="2:5">
      <c r="B6" s="20">
        <v>2</v>
      </c>
      <c r="C6" s="21" t="s">
        <v>6</v>
      </c>
      <c r="D6" s="22">
        <v>600</v>
      </c>
      <c r="E6" s="22">
        <f>E5+D6</f>
        <v>600</v>
      </c>
    </row>
    <row r="7" spans="2:5">
      <c r="B7" s="20">
        <v>3</v>
      </c>
      <c r="C7" s="21" t="s">
        <v>7</v>
      </c>
      <c r="D7" s="22">
        <v>100</v>
      </c>
      <c r="E7" s="22">
        <f t="shared" ref="E7:E39" si="0">E6+D7</f>
        <v>700</v>
      </c>
    </row>
    <row r="8" spans="2:5">
      <c r="B8" s="20">
        <v>4</v>
      </c>
      <c r="C8" s="21" t="s">
        <v>8</v>
      </c>
      <c r="D8" s="22">
        <v>100</v>
      </c>
      <c r="E8" s="22">
        <f t="shared" si="0"/>
        <v>800</v>
      </c>
    </row>
    <row r="9" spans="2:5">
      <c r="B9" s="20">
        <v>5</v>
      </c>
      <c r="C9" s="21" t="s">
        <v>9</v>
      </c>
      <c r="D9" s="22">
        <v>145</v>
      </c>
      <c r="E9" s="22">
        <f t="shared" si="0"/>
        <v>945</v>
      </c>
    </row>
    <row r="10" spans="2:5">
      <c r="B10" s="20">
        <v>6</v>
      </c>
      <c r="C10" s="21" t="s">
        <v>10</v>
      </c>
      <c r="D10" s="22">
        <v>145</v>
      </c>
      <c r="E10" s="22">
        <f t="shared" si="0"/>
        <v>1090</v>
      </c>
    </row>
    <row r="11" spans="2:5">
      <c r="B11" s="20">
        <v>7</v>
      </c>
      <c r="C11" s="21" t="s">
        <v>11</v>
      </c>
      <c r="D11" s="22">
        <v>490</v>
      </c>
      <c r="E11" s="22">
        <f t="shared" si="0"/>
        <v>1580</v>
      </c>
    </row>
    <row r="12" spans="2:5">
      <c r="B12" s="20">
        <v>8</v>
      </c>
      <c r="C12" s="21" t="s">
        <v>12</v>
      </c>
      <c r="D12" s="22">
        <v>160</v>
      </c>
      <c r="E12" s="22">
        <f t="shared" si="0"/>
        <v>1740</v>
      </c>
    </row>
    <row r="13" spans="2:5">
      <c r="B13" s="20">
        <v>9</v>
      </c>
      <c r="C13" s="21" t="s">
        <v>13</v>
      </c>
      <c r="D13" s="22">
        <v>160</v>
      </c>
      <c r="E13" s="22">
        <f t="shared" si="0"/>
        <v>1900</v>
      </c>
    </row>
    <row r="14" spans="2:5">
      <c r="B14" s="20">
        <v>10</v>
      </c>
      <c r="C14" s="21" t="s">
        <v>14</v>
      </c>
      <c r="D14" s="22">
        <v>700</v>
      </c>
      <c r="E14" s="22">
        <f t="shared" si="0"/>
        <v>2600</v>
      </c>
    </row>
    <row r="15" spans="2:5">
      <c r="B15" s="20">
        <v>11</v>
      </c>
      <c r="C15" s="21" t="s">
        <v>15</v>
      </c>
      <c r="D15" s="22">
        <v>2130</v>
      </c>
      <c r="E15" s="22">
        <f t="shared" si="0"/>
        <v>4730</v>
      </c>
    </row>
    <row r="16" spans="2:5">
      <c r="B16" s="20">
        <v>12</v>
      </c>
      <c r="C16" s="21" t="s">
        <v>16</v>
      </c>
      <c r="D16" s="22">
        <v>270</v>
      </c>
      <c r="E16" s="22">
        <f t="shared" si="0"/>
        <v>5000</v>
      </c>
    </row>
    <row r="17" spans="2:5">
      <c r="B17" s="20">
        <v>13</v>
      </c>
      <c r="C17" s="21" t="s">
        <v>17</v>
      </c>
      <c r="D17" s="22">
        <v>270</v>
      </c>
      <c r="E17" s="22">
        <f t="shared" si="0"/>
        <v>5270</v>
      </c>
    </row>
    <row r="18" spans="2:5">
      <c r="B18" s="20">
        <v>14</v>
      </c>
      <c r="C18" s="21" t="s">
        <v>18</v>
      </c>
      <c r="D18" s="22">
        <v>550</v>
      </c>
      <c r="E18" s="22">
        <f t="shared" si="0"/>
        <v>5820</v>
      </c>
    </row>
    <row r="19" spans="2:5">
      <c r="B19" s="20">
        <v>15</v>
      </c>
      <c r="C19" s="21" t="s">
        <v>16</v>
      </c>
      <c r="D19" s="22">
        <v>400</v>
      </c>
      <c r="E19" s="22">
        <f t="shared" si="0"/>
        <v>6220</v>
      </c>
    </row>
    <row r="20" spans="2:5">
      <c r="B20" s="20">
        <v>16</v>
      </c>
      <c r="C20" s="21" t="s">
        <v>19</v>
      </c>
      <c r="D20" s="22">
        <v>400</v>
      </c>
      <c r="E20" s="22">
        <f t="shared" si="0"/>
        <v>6620</v>
      </c>
    </row>
    <row r="21" spans="2:5">
      <c r="B21" s="20">
        <v>17</v>
      </c>
      <c r="C21" s="21" t="s">
        <v>20</v>
      </c>
      <c r="D21" s="22">
        <v>280</v>
      </c>
      <c r="E21" s="22">
        <f t="shared" si="0"/>
        <v>6900</v>
      </c>
    </row>
    <row r="22" spans="2:5">
      <c r="B22" s="20">
        <v>18</v>
      </c>
      <c r="C22" s="21" t="s">
        <v>21</v>
      </c>
      <c r="D22" s="22">
        <v>1120</v>
      </c>
      <c r="E22" s="22">
        <f t="shared" si="0"/>
        <v>8020</v>
      </c>
    </row>
    <row r="23" spans="2:5">
      <c r="B23" s="20">
        <v>19</v>
      </c>
      <c r="C23" s="21" t="s">
        <v>22</v>
      </c>
      <c r="D23" s="22">
        <v>325</v>
      </c>
      <c r="E23" s="22">
        <f t="shared" si="0"/>
        <v>8345</v>
      </c>
    </row>
    <row r="24" spans="2:5">
      <c r="B24" s="20">
        <v>20</v>
      </c>
      <c r="C24" s="21" t="s">
        <v>23</v>
      </c>
      <c r="D24" s="22">
        <v>325</v>
      </c>
      <c r="E24" s="22">
        <f t="shared" si="0"/>
        <v>8670</v>
      </c>
    </row>
    <row r="25" spans="2:5">
      <c r="B25" s="20">
        <v>21</v>
      </c>
      <c r="C25" s="21" t="s">
        <v>16</v>
      </c>
      <c r="D25" s="22">
        <v>255</v>
      </c>
      <c r="E25" s="22">
        <f t="shared" si="0"/>
        <v>8925</v>
      </c>
    </row>
    <row r="26" spans="2:5">
      <c r="B26" s="20">
        <v>22</v>
      </c>
      <c r="C26" s="21" t="s">
        <v>24</v>
      </c>
      <c r="D26" s="22">
        <v>255</v>
      </c>
      <c r="E26" s="22">
        <f t="shared" si="0"/>
        <v>9180</v>
      </c>
    </row>
    <row r="27" spans="2:5">
      <c r="B27" s="20">
        <v>23</v>
      </c>
      <c r="C27" s="21" t="s">
        <v>25</v>
      </c>
      <c r="D27" s="22">
        <v>100</v>
      </c>
      <c r="E27" s="22">
        <f t="shared" si="0"/>
        <v>9280</v>
      </c>
    </row>
    <row r="28" spans="2:5">
      <c r="B28" s="20">
        <v>24</v>
      </c>
      <c r="C28" s="21" t="s">
        <v>26</v>
      </c>
      <c r="D28" s="22">
        <v>300</v>
      </c>
      <c r="E28" s="22">
        <f t="shared" si="0"/>
        <v>9580</v>
      </c>
    </row>
    <row r="29" spans="2:5">
      <c r="B29" s="20">
        <v>25</v>
      </c>
      <c r="C29" s="21" t="s">
        <v>27</v>
      </c>
      <c r="D29" s="22">
        <v>300</v>
      </c>
      <c r="E29" s="22">
        <f t="shared" si="0"/>
        <v>9880</v>
      </c>
    </row>
    <row r="30" spans="2:5">
      <c r="B30" s="20">
        <v>26</v>
      </c>
      <c r="C30" s="21" t="s">
        <v>28</v>
      </c>
      <c r="D30" s="22">
        <v>170</v>
      </c>
      <c r="E30" s="22">
        <f t="shared" si="0"/>
        <v>10050</v>
      </c>
    </row>
    <row r="31" spans="2:5">
      <c r="B31" s="20">
        <v>27</v>
      </c>
      <c r="C31" s="21" t="s">
        <v>29</v>
      </c>
      <c r="D31" s="22">
        <v>220</v>
      </c>
      <c r="E31" s="22">
        <f t="shared" si="0"/>
        <v>10270</v>
      </c>
    </row>
    <row r="32" spans="2:5">
      <c r="B32" s="20">
        <v>28</v>
      </c>
      <c r="C32" s="21" t="s">
        <v>30</v>
      </c>
      <c r="D32" s="22">
        <v>220</v>
      </c>
      <c r="E32" s="22">
        <f t="shared" si="0"/>
        <v>10490</v>
      </c>
    </row>
    <row r="33" spans="2:5">
      <c r="B33" s="20">
        <v>29</v>
      </c>
      <c r="C33" s="21" t="s">
        <v>31</v>
      </c>
      <c r="D33" s="22">
        <v>2720</v>
      </c>
      <c r="E33" s="22">
        <f t="shared" si="0"/>
        <v>13210</v>
      </c>
    </row>
    <row r="34" spans="2:5">
      <c r="B34" s="20">
        <v>30</v>
      </c>
      <c r="C34" s="21" t="s">
        <v>32</v>
      </c>
      <c r="D34" s="22">
        <v>1695</v>
      </c>
      <c r="E34" s="22">
        <f t="shared" si="0"/>
        <v>14905</v>
      </c>
    </row>
    <row r="35" spans="2:5">
      <c r="B35" s="20">
        <v>31</v>
      </c>
      <c r="C35" s="21" t="s">
        <v>22</v>
      </c>
      <c r="D35" s="22">
        <v>340</v>
      </c>
      <c r="E35" s="22">
        <f t="shared" si="0"/>
        <v>15245</v>
      </c>
    </row>
    <row r="36" spans="2:5">
      <c r="B36" s="20">
        <v>32</v>
      </c>
      <c r="C36" s="21" t="s">
        <v>33</v>
      </c>
      <c r="D36" s="20">
        <v>340</v>
      </c>
      <c r="E36" s="22">
        <f t="shared" si="0"/>
        <v>15585</v>
      </c>
    </row>
    <row r="37" spans="2:5">
      <c r="B37" s="20">
        <v>33</v>
      </c>
      <c r="C37" s="21" t="s">
        <v>7</v>
      </c>
      <c r="D37" s="20">
        <v>100</v>
      </c>
      <c r="E37" s="22">
        <f t="shared" si="0"/>
        <v>15685</v>
      </c>
    </row>
    <row r="38" spans="2:5">
      <c r="B38" s="20">
        <v>34</v>
      </c>
      <c r="C38" s="21" t="s">
        <v>34</v>
      </c>
      <c r="D38" s="20">
        <v>100</v>
      </c>
      <c r="E38" s="22">
        <f t="shared" si="0"/>
        <v>15785</v>
      </c>
    </row>
    <row r="39" spans="2:5">
      <c r="B39" s="17">
        <v>35</v>
      </c>
      <c r="C39" s="18" t="s">
        <v>35</v>
      </c>
      <c r="D39" s="17">
        <v>630</v>
      </c>
      <c r="E39" s="19">
        <f t="shared" si="0"/>
        <v>16415</v>
      </c>
    </row>
    <row r="40" spans="3:3">
      <c r="C40" s="23"/>
    </row>
  </sheetData>
  <pageMargins left="0.699305555555556" right="0.699305555555556" top="0.75" bottom="0.75" header="0.3" footer="0.3"/>
  <pageSetup paperSize="9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B1:Q35"/>
  <sheetViews>
    <sheetView workbookViewId="0">
      <selection activeCell="C24" sqref="C24"/>
    </sheetView>
  </sheetViews>
  <sheetFormatPr defaultColWidth="9.14285714285714" defaultRowHeight="15"/>
  <sheetData>
    <row r="1" ht="16.5" customHeight="1"/>
    <row r="2" ht="18.75" spans="2:17">
      <c r="B2" s="1" t="s">
        <v>1</v>
      </c>
      <c r="C2" s="2" t="s">
        <v>36</v>
      </c>
      <c r="D2" s="2" t="s">
        <v>37</v>
      </c>
      <c r="E2" s="3" t="s">
        <v>38</v>
      </c>
      <c r="F2" s="4" t="s">
        <v>39</v>
      </c>
      <c r="G2" s="4"/>
      <c r="H2" s="4" t="s">
        <v>40</v>
      </c>
      <c r="I2" s="4"/>
      <c r="J2" s="4"/>
      <c r="K2" s="4" t="s">
        <v>41</v>
      </c>
      <c r="L2" s="4"/>
      <c r="M2" s="4"/>
      <c r="N2" s="4" t="s">
        <v>42</v>
      </c>
      <c r="O2" s="2" t="s">
        <v>43</v>
      </c>
      <c r="P2" s="2" t="s">
        <v>44</v>
      </c>
      <c r="Q2" s="2" t="s">
        <v>45</v>
      </c>
    </row>
    <row r="3" ht="19.5" customHeight="1" spans="2:17">
      <c r="B3" s="1"/>
      <c r="C3" s="5" t="s">
        <v>46</v>
      </c>
      <c r="D3" s="5" t="s">
        <v>47</v>
      </c>
      <c r="E3" s="3"/>
      <c r="F3" s="4"/>
      <c r="G3" s="4"/>
      <c r="H3" s="4"/>
      <c r="I3" s="4"/>
      <c r="J3" s="4"/>
      <c r="K3" s="4"/>
      <c r="L3" s="4"/>
      <c r="M3" s="4"/>
      <c r="N3" s="4"/>
      <c r="O3" s="5" t="s">
        <v>48</v>
      </c>
      <c r="P3" s="5" t="s">
        <v>49</v>
      </c>
      <c r="Q3" s="5" t="s">
        <v>50</v>
      </c>
    </row>
    <row r="4" ht="18.75" spans="2:17">
      <c r="B4" s="1"/>
      <c r="C4" s="6"/>
      <c r="D4" s="6"/>
      <c r="E4" s="3"/>
      <c r="F4" s="7" t="s">
        <v>51</v>
      </c>
      <c r="G4" s="7" t="s">
        <v>52</v>
      </c>
      <c r="H4" s="5" t="s">
        <v>53</v>
      </c>
      <c r="I4" s="5" t="s">
        <v>54</v>
      </c>
      <c r="J4" s="9" t="s">
        <v>55</v>
      </c>
      <c r="K4" s="5" t="s">
        <v>56</v>
      </c>
      <c r="L4" s="5" t="s">
        <v>57</v>
      </c>
      <c r="M4" s="2" t="s">
        <v>58</v>
      </c>
      <c r="N4" s="4"/>
      <c r="O4" s="6"/>
      <c r="P4" s="6"/>
      <c r="Q4" s="5" t="s">
        <v>59</v>
      </c>
    </row>
    <row r="5" ht="18.75" spans="2:17">
      <c r="B5" s="1"/>
      <c r="C5" s="8"/>
      <c r="D5" s="8"/>
      <c r="E5" s="3"/>
      <c r="F5" s="7"/>
      <c r="G5" s="7"/>
      <c r="H5" s="9" t="s">
        <v>60</v>
      </c>
      <c r="I5" s="9" t="s">
        <v>61</v>
      </c>
      <c r="J5" s="9"/>
      <c r="K5" s="9" t="s">
        <v>62</v>
      </c>
      <c r="L5" s="9" t="s">
        <v>63</v>
      </c>
      <c r="M5" s="9" t="s">
        <v>64</v>
      </c>
      <c r="N5" s="4"/>
      <c r="O5" s="8"/>
      <c r="P5" s="8"/>
      <c r="Q5" s="8"/>
    </row>
    <row r="6" ht="15.75" spans="2:17">
      <c r="B6" s="10">
        <v>1</v>
      </c>
      <c r="C6" s="11" t="s">
        <v>65</v>
      </c>
      <c r="D6" s="11">
        <v>1090</v>
      </c>
      <c r="E6" s="11" t="s">
        <v>66</v>
      </c>
      <c r="F6" s="11">
        <v>40</v>
      </c>
      <c r="G6" s="11" t="s">
        <v>67</v>
      </c>
      <c r="H6" s="11" t="s">
        <v>68</v>
      </c>
      <c r="I6" s="11">
        <v>254</v>
      </c>
      <c r="J6" s="12">
        <v>0.352083333333333</v>
      </c>
      <c r="K6" s="11">
        <v>50</v>
      </c>
      <c r="L6" s="11">
        <v>200</v>
      </c>
      <c r="M6" s="11">
        <v>3</v>
      </c>
      <c r="N6" s="11" t="s">
        <v>69</v>
      </c>
      <c r="O6" s="11" t="s">
        <v>48</v>
      </c>
      <c r="P6" s="11">
        <v>28.56</v>
      </c>
      <c r="Q6" s="11">
        <v>10.5</v>
      </c>
    </row>
    <row r="7" ht="15.75" spans="2:17">
      <c r="B7" s="10">
        <v>2</v>
      </c>
      <c r="C7" s="11" t="s">
        <v>70</v>
      </c>
      <c r="D7" s="11">
        <v>1100</v>
      </c>
      <c r="E7" s="11" t="s">
        <v>66</v>
      </c>
      <c r="F7" s="11">
        <v>30</v>
      </c>
      <c r="G7" s="11" t="s">
        <v>67</v>
      </c>
      <c r="H7" s="11" t="s">
        <v>68</v>
      </c>
      <c r="I7" s="11">
        <v>10</v>
      </c>
      <c r="J7" s="12">
        <v>0.494444444444444</v>
      </c>
      <c r="K7" s="11">
        <v>25</v>
      </c>
      <c r="L7" s="11">
        <v>140</v>
      </c>
      <c r="M7" s="11">
        <v>3</v>
      </c>
      <c r="N7" s="11" t="s">
        <v>69</v>
      </c>
      <c r="O7" s="11" t="s">
        <v>48</v>
      </c>
      <c r="P7" s="11">
        <v>28.56</v>
      </c>
      <c r="Q7" s="11">
        <v>10.5</v>
      </c>
    </row>
    <row r="8" ht="15.75" spans="2:17">
      <c r="B8" s="10">
        <v>3</v>
      </c>
      <c r="C8" s="11" t="s">
        <v>71</v>
      </c>
      <c r="D8" s="11">
        <v>1160</v>
      </c>
      <c r="E8" s="11" t="s">
        <v>66</v>
      </c>
      <c r="F8" s="11" t="s">
        <v>67</v>
      </c>
      <c r="G8" s="11">
        <v>30</v>
      </c>
      <c r="H8" s="11" t="s">
        <v>68</v>
      </c>
      <c r="I8" s="11">
        <v>411</v>
      </c>
      <c r="J8" s="12">
        <v>0.261111111111111</v>
      </c>
      <c r="K8" s="11">
        <v>25</v>
      </c>
      <c r="L8" s="11">
        <v>135</v>
      </c>
      <c r="M8" s="11">
        <v>3.2</v>
      </c>
      <c r="N8" s="11" t="s">
        <v>69</v>
      </c>
      <c r="O8" s="11" t="s">
        <v>48</v>
      </c>
      <c r="P8" s="11">
        <v>28.56</v>
      </c>
      <c r="Q8" s="11">
        <v>11.2</v>
      </c>
    </row>
    <row r="9" ht="15.75" spans="2:17">
      <c r="B9" s="10">
        <v>4</v>
      </c>
      <c r="C9" s="11" t="s">
        <v>72</v>
      </c>
      <c r="D9" s="11">
        <v>1165</v>
      </c>
      <c r="E9" s="11" t="s">
        <v>66</v>
      </c>
      <c r="F9" s="11" t="s">
        <v>67</v>
      </c>
      <c r="G9" s="11">
        <v>35</v>
      </c>
      <c r="H9" s="11" t="s">
        <v>73</v>
      </c>
      <c r="I9" s="11">
        <v>270</v>
      </c>
      <c r="J9" s="12">
        <v>0.156944444444444</v>
      </c>
      <c r="K9" s="11">
        <v>40</v>
      </c>
      <c r="L9" s="11">
        <v>125</v>
      </c>
      <c r="M9" s="11">
        <v>2.5</v>
      </c>
      <c r="N9" s="11" t="s">
        <v>69</v>
      </c>
      <c r="O9" s="11" t="s">
        <v>48</v>
      </c>
      <c r="P9" s="11">
        <v>28.56</v>
      </c>
      <c r="Q9" s="11">
        <v>8.8</v>
      </c>
    </row>
    <row r="10" ht="15.75" spans="2:17">
      <c r="B10" s="10">
        <v>5</v>
      </c>
      <c r="C10" s="11" t="s">
        <v>74</v>
      </c>
      <c r="D10" s="11">
        <v>1210</v>
      </c>
      <c r="E10" s="11" t="s">
        <v>66</v>
      </c>
      <c r="F10" s="11" t="s">
        <v>67</v>
      </c>
      <c r="G10" s="11">
        <v>80</v>
      </c>
      <c r="H10" s="11" t="s">
        <v>68</v>
      </c>
      <c r="I10" s="11">
        <v>114</v>
      </c>
      <c r="J10" s="12">
        <v>0.433333333333333</v>
      </c>
      <c r="K10" s="11">
        <v>120</v>
      </c>
      <c r="L10" s="11">
        <v>400</v>
      </c>
      <c r="M10" s="11">
        <v>3.5</v>
      </c>
      <c r="N10" s="11" t="s">
        <v>69</v>
      </c>
      <c r="O10" s="11" t="s">
        <v>48</v>
      </c>
      <c r="P10" s="11">
        <v>28.56</v>
      </c>
      <c r="Q10" s="11">
        <v>12.3</v>
      </c>
    </row>
    <row r="11" ht="15.75" spans="2:17">
      <c r="B11" s="10">
        <v>6</v>
      </c>
      <c r="C11" s="11" t="s">
        <v>75</v>
      </c>
      <c r="D11" s="11">
        <v>2175</v>
      </c>
      <c r="E11" s="11" t="s">
        <v>76</v>
      </c>
      <c r="F11" s="11">
        <v>55</v>
      </c>
      <c r="G11" s="11" t="s">
        <v>67</v>
      </c>
      <c r="H11" s="11" t="s">
        <v>73</v>
      </c>
      <c r="I11" s="11">
        <v>0</v>
      </c>
      <c r="J11" s="12">
        <v>0</v>
      </c>
      <c r="K11" s="11">
        <v>95</v>
      </c>
      <c r="L11" s="11">
        <v>858</v>
      </c>
      <c r="M11" s="11">
        <v>4</v>
      </c>
      <c r="N11" s="11" t="s">
        <v>69</v>
      </c>
      <c r="O11" s="11" t="s">
        <v>48</v>
      </c>
      <c r="P11" s="11">
        <v>28.56</v>
      </c>
      <c r="Q11" s="11">
        <v>14</v>
      </c>
    </row>
    <row r="12" ht="15.75" spans="2:17">
      <c r="B12" s="10">
        <v>7</v>
      </c>
      <c r="C12" s="11" t="s">
        <v>77</v>
      </c>
      <c r="D12" s="11">
        <v>2255</v>
      </c>
      <c r="E12" s="11" t="s">
        <v>76</v>
      </c>
      <c r="F12" s="11" t="s">
        <v>67</v>
      </c>
      <c r="G12" s="11">
        <v>25</v>
      </c>
      <c r="H12" s="11" t="s">
        <v>73</v>
      </c>
      <c r="I12" s="11">
        <v>0</v>
      </c>
      <c r="J12" s="12">
        <v>0</v>
      </c>
      <c r="K12" s="11">
        <v>10</v>
      </c>
      <c r="L12" s="11">
        <v>858</v>
      </c>
      <c r="M12" s="11">
        <v>1</v>
      </c>
      <c r="N12" s="11" t="s">
        <v>69</v>
      </c>
      <c r="O12" s="11" t="s">
        <v>48</v>
      </c>
      <c r="P12" s="11">
        <v>28.56</v>
      </c>
      <c r="Q12" s="11">
        <v>3.5</v>
      </c>
    </row>
    <row r="13" ht="15.75" spans="2:17">
      <c r="B13" s="10">
        <v>8</v>
      </c>
      <c r="C13" s="11" t="s">
        <v>78</v>
      </c>
      <c r="D13" s="11">
        <v>2840</v>
      </c>
      <c r="E13" s="11" t="s">
        <v>79</v>
      </c>
      <c r="F13" s="11" t="s">
        <v>67</v>
      </c>
      <c r="G13" s="11">
        <v>160</v>
      </c>
      <c r="H13" s="11" t="s">
        <v>73</v>
      </c>
      <c r="I13" s="11">
        <v>0</v>
      </c>
      <c r="J13" s="12">
        <v>0</v>
      </c>
      <c r="K13" s="11">
        <v>150</v>
      </c>
      <c r="L13" s="11">
        <v>45</v>
      </c>
      <c r="M13" s="11">
        <v>1.5</v>
      </c>
      <c r="N13" s="11" t="s">
        <v>69</v>
      </c>
      <c r="O13" s="11" t="s">
        <v>48</v>
      </c>
      <c r="P13" s="11">
        <v>28.56</v>
      </c>
      <c r="Q13" s="11">
        <v>5.3</v>
      </c>
    </row>
    <row r="14" ht="15.75" spans="2:17">
      <c r="B14" s="10">
        <v>9</v>
      </c>
      <c r="C14" s="11" t="s">
        <v>80</v>
      </c>
      <c r="D14" s="11">
        <v>3185</v>
      </c>
      <c r="E14" s="11" t="s">
        <v>81</v>
      </c>
      <c r="F14" s="11">
        <v>85</v>
      </c>
      <c r="G14" s="11" t="s">
        <v>67</v>
      </c>
      <c r="H14" s="11" t="s">
        <v>73</v>
      </c>
      <c r="I14" s="11">
        <v>0</v>
      </c>
      <c r="J14" s="12">
        <v>0</v>
      </c>
      <c r="K14" s="11">
        <v>65</v>
      </c>
      <c r="L14" s="11">
        <v>858</v>
      </c>
      <c r="M14" s="11">
        <v>3.5</v>
      </c>
      <c r="N14" s="11" t="s">
        <v>69</v>
      </c>
      <c r="O14" s="11" t="s">
        <v>48</v>
      </c>
      <c r="P14" s="11">
        <v>28.56</v>
      </c>
      <c r="Q14" s="11">
        <v>12.3</v>
      </c>
    </row>
    <row r="15" ht="15.75" spans="2:17">
      <c r="B15" s="10">
        <v>10</v>
      </c>
      <c r="C15" s="11" t="s">
        <v>82</v>
      </c>
      <c r="D15" s="11">
        <v>3295</v>
      </c>
      <c r="E15" s="11" t="s">
        <v>81</v>
      </c>
      <c r="F15" s="11" t="s">
        <v>67</v>
      </c>
      <c r="G15" s="11">
        <v>25</v>
      </c>
      <c r="H15" s="11" t="s">
        <v>73</v>
      </c>
      <c r="I15" s="11">
        <v>429</v>
      </c>
      <c r="J15" s="12">
        <v>0.25</v>
      </c>
      <c r="K15" s="11">
        <v>10</v>
      </c>
      <c r="L15" s="11">
        <v>110</v>
      </c>
      <c r="M15" s="11">
        <v>1.5</v>
      </c>
      <c r="N15" s="11" t="s">
        <v>69</v>
      </c>
      <c r="O15" s="11" t="s">
        <v>48</v>
      </c>
      <c r="P15" s="11">
        <v>28.56</v>
      </c>
      <c r="Q15" s="11">
        <v>5.3</v>
      </c>
    </row>
    <row r="16" ht="15.75" spans="2:17">
      <c r="B16" s="10">
        <v>11</v>
      </c>
      <c r="C16" s="11" t="s">
        <v>83</v>
      </c>
      <c r="D16" s="11">
        <v>3300</v>
      </c>
      <c r="E16" s="11" t="s">
        <v>81</v>
      </c>
      <c r="F16" s="11" t="s">
        <v>67</v>
      </c>
      <c r="G16" s="11">
        <v>30</v>
      </c>
      <c r="H16" s="11" t="s">
        <v>73</v>
      </c>
      <c r="I16" s="11">
        <v>80</v>
      </c>
      <c r="J16" s="12">
        <v>0.0465277777777778</v>
      </c>
      <c r="K16" s="11">
        <v>30</v>
      </c>
      <c r="L16" s="11">
        <v>220</v>
      </c>
      <c r="M16" s="11">
        <v>2.5</v>
      </c>
      <c r="N16" s="11" t="s">
        <v>69</v>
      </c>
      <c r="O16" s="11" t="s">
        <v>48</v>
      </c>
      <c r="P16" s="11">
        <v>28.56</v>
      </c>
      <c r="Q16" s="11">
        <v>8.8</v>
      </c>
    </row>
    <row r="17" ht="15.75" spans="2:17">
      <c r="B17" s="10">
        <v>12</v>
      </c>
      <c r="C17" s="11" t="s">
        <v>84</v>
      </c>
      <c r="D17" s="11">
        <v>3300</v>
      </c>
      <c r="E17" s="11" t="s">
        <v>81</v>
      </c>
      <c r="F17" s="11" t="s">
        <v>67</v>
      </c>
      <c r="G17" s="11">
        <v>30</v>
      </c>
      <c r="H17" s="11" t="s">
        <v>68</v>
      </c>
      <c r="I17" s="11">
        <v>214</v>
      </c>
      <c r="J17" s="12">
        <v>0.375</v>
      </c>
      <c r="K17" s="11">
        <v>25</v>
      </c>
      <c r="L17" s="11">
        <v>100</v>
      </c>
      <c r="M17" s="11">
        <v>1.5</v>
      </c>
      <c r="N17" s="11" t="s">
        <v>69</v>
      </c>
      <c r="O17" s="11" t="s">
        <v>48</v>
      </c>
      <c r="P17" s="11">
        <v>28.56</v>
      </c>
      <c r="Q17" s="11">
        <v>5.3</v>
      </c>
    </row>
    <row r="18" ht="15.75" spans="2:17">
      <c r="B18" s="10">
        <v>13</v>
      </c>
      <c r="C18" s="11" t="s">
        <v>85</v>
      </c>
      <c r="D18" s="11">
        <v>3370</v>
      </c>
      <c r="E18" s="11" t="s">
        <v>81</v>
      </c>
      <c r="F18" s="11" t="s">
        <v>67</v>
      </c>
      <c r="G18" s="11">
        <v>100</v>
      </c>
      <c r="H18" s="11" t="s">
        <v>68</v>
      </c>
      <c r="I18" s="11">
        <v>214</v>
      </c>
      <c r="J18" s="12">
        <v>0.375</v>
      </c>
      <c r="K18" s="11">
        <v>30</v>
      </c>
      <c r="L18" s="11">
        <v>30</v>
      </c>
      <c r="M18" s="11">
        <v>2.5</v>
      </c>
      <c r="N18" s="11" t="s">
        <v>69</v>
      </c>
      <c r="O18" s="11" t="s">
        <v>48</v>
      </c>
      <c r="P18" s="11">
        <v>28.56</v>
      </c>
      <c r="Q18" s="11">
        <v>8.8</v>
      </c>
    </row>
    <row r="19" ht="15.75" spans="2:17">
      <c r="B19" s="10">
        <v>14</v>
      </c>
      <c r="C19" s="11" t="s">
        <v>86</v>
      </c>
      <c r="D19" s="11">
        <v>4020</v>
      </c>
      <c r="E19" s="11" t="s">
        <v>81</v>
      </c>
      <c r="F19" s="11" t="s">
        <v>67</v>
      </c>
      <c r="G19" s="11">
        <v>750</v>
      </c>
      <c r="H19" s="11" t="s">
        <v>73</v>
      </c>
      <c r="I19" s="11">
        <v>429</v>
      </c>
      <c r="J19" s="12">
        <v>0.25</v>
      </c>
      <c r="K19" s="11">
        <v>560</v>
      </c>
      <c r="L19" s="11">
        <v>435</v>
      </c>
      <c r="M19" s="11">
        <v>3</v>
      </c>
      <c r="N19" s="11" t="s">
        <v>69</v>
      </c>
      <c r="O19" s="11" t="s">
        <v>48</v>
      </c>
      <c r="P19" s="11">
        <v>28.56</v>
      </c>
      <c r="Q19" s="11">
        <v>10.5</v>
      </c>
    </row>
    <row r="20" ht="15.75" spans="2:17">
      <c r="B20" s="10">
        <v>15</v>
      </c>
      <c r="C20" s="11" t="s">
        <v>87</v>
      </c>
      <c r="D20" s="11">
        <v>6775</v>
      </c>
      <c r="E20" s="11" t="s">
        <v>88</v>
      </c>
      <c r="F20" s="11">
        <v>45</v>
      </c>
      <c r="G20" s="11" t="s">
        <v>67</v>
      </c>
      <c r="H20" s="11" t="s">
        <v>68</v>
      </c>
      <c r="I20" s="11">
        <v>20</v>
      </c>
      <c r="J20" s="12">
        <v>0.488888888888889</v>
      </c>
      <c r="K20" s="11">
        <v>45</v>
      </c>
      <c r="L20" s="11">
        <v>240</v>
      </c>
      <c r="M20" s="11">
        <v>2.5</v>
      </c>
      <c r="N20" s="11" t="s">
        <v>69</v>
      </c>
      <c r="O20" s="11" t="s">
        <v>48</v>
      </c>
      <c r="P20" s="11">
        <v>28.56</v>
      </c>
      <c r="Q20" s="11">
        <v>8.8</v>
      </c>
    </row>
    <row r="21" ht="15.75" spans="2:17">
      <c r="B21" s="10">
        <v>16</v>
      </c>
      <c r="C21" s="11" t="s">
        <v>89</v>
      </c>
      <c r="D21" s="11">
        <v>6790</v>
      </c>
      <c r="E21" s="11" t="s">
        <v>88</v>
      </c>
      <c r="F21" s="11">
        <v>30</v>
      </c>
      <c r="G21" s="11" t="s">
        <v>67</v>
      </c>
      <c r="H21" s="11" t="s">
        <v>68</v>
      </c>
      <c r="I21" s="11">
        <v>399</v>
      </c>
      <c r="J21" s="12">
        <v>0.268055555555556</v>
      </c>
      <c r="K21" s="11">
        <v>30</v>
      </c>
      <c r="L21" s="11">
        <v>25</v>
      </c>
      <c r="M21" s="11">
        <v>1.5</v>
      </c>
      <c r="N21" s="11" t="s">
        <v>69</v>
      </c>
      <c r="O21" s="11" t="s">
        <v>48</v>
      </c>
      <c r="P21" s="11">
        <v>28.56</v>
      </c>
      <c r="Q21" s="11">
        <v>5.3</v>
      </c>
    </row>
    <row r="22" ht="15.75" spans="2:17">
      <c r="B22" s="10">
        <v>17</v>
      </c>
      <c r="C22" s="11" t="s">
        <v>90</v>
      </c>
      <c r="D22" s="11">
        <v>6790</v>
      </c>
      <c r="E22" s="11" t="s">
        <v>88</v>
      </c>
      <c r="F22" s="11">
        <v>30</v>
      </c>
      <c r="G22" s="11" t="s">
        <v>67</v>
      </c>
      <c r="H22" s="11" t="s">
        <v>68</v>
      </c>
      <c r="I22" s="11">
        <v>214</v>
      </c>
      <c r="J22" s="12">
        <v>0.375</v>
      </c>
      <c r="K22" s="11">
        <v>20</v>
      </c>
      <c r="L22" s="11">
        <v>100</v>
      </c>
      <c r="M22" s="11">
        <v>1.5</v>
      </c>
      <c r="N22" s="11" t="s">
        <v>69</v>
      </c>
      <c r="O22" s="11" t="s">
        <v>48</v>
      </c>
      <c r="P22" s="11">
        <v>28.56</v>
      </c>
      <c r="Q22" s="11">
        <v>5.3</v>
      </c>
    </row>
    <row r="23" ht="15.75" spans="2:17">
      <c r="B23" s="10">
        <v>18</v>
      </c>
      <c r="C23" s="11" t="s">
        <v>91</v>
      </c>
      <c r="D23" s="11">
        <v>6795</v>
      </c>
      <c r="E23" s="11" t="s">
        <v>88</v>
      </c>
      <c r="F23" s="11">
        <v>25</v>
      </c>
      <c r="G23" s="11" t="s">
        <v>67</v>
      </c>
      <c r="H23" s="11" t="s">
        <v>73</v>
      </c>
      <c r="I23" s="11">
        <v>194</v>
      </c>
      <c r="J23" s="12">
        <v>0.113194444444444</v>
      </c>
      <c r="K23" s="11">
        <v>10</v>
      </c>
      <c r="L23" s="11">
        <v>40</v>
      </c>
      <c r="M23" s="11">
        <v>0.5</v>
      </c>
      <c r="N23" s="11" t="s">
        <v>69</v>
      </c>
      <c r="O23" s="11" t="s">
        <v>48</v>
      </c>
      <c r="P23" s="11">
        <v>28.56</v>
      </c>
      <c r="Q23" s="11">
        <v>1.8</v>
      </c>
    </row>
    <row r="24" ht="15.75" spans="2:17">
      <c r="B24" s="10">
        <v>19</v>
      </c>
      <c r="C24" s="11" t="s">
        <v>92</v>
      </c>
      <c r="D24" s="11">
        <v>6795</v>
      </c>
      <c r="E24" s="11" t="s">
        <v>88</v>
      </c>
      <c r="F24" s="11">
        <v>25</v>
      </c>
      <c r="G24" s="11" t="s">
        <v>67</v>
      </c>
      <c r="H24" s="11" t="s">
        <v>73</v>
      </c>
      <c r="I24" s="11">
        <v>349</v>
      </c>
      <c r="J24" s="12">
        <v>0.202777777777778</v>
      </c>
      <c r="K24" s="11">
        <v>25</v>
      </c>
      <c r="L24" s="11">
        <v>80</v>
      </c>
      <c r="M24" s="11">
        <v>1</v>
      </c>
      <c r="N24" s="11" t="s">
        <v>69</v>
      </c>
      <c r="O24" s="11" t="s">
        <v>48</v>
      </c>
      <c r="P24" s="11">
        <v>28.56</v>
      </c>
      <c r="Q24" s="11">
        <v>3.5</v>
      </c>
    </row>
    <row r="25" ht="15.75" spans="2:17">
      <c r="B25" s="10">
        <v>20</v>
      </c>
      <c r="C25" s="11" t="s">
        <v>93</v>
      </c>
      <c r="D25" s="11">
        <v>6845</v>
      </c>
      <c r="E25" s="11" t="s">
        <v>88</v>
      </c>
      <c r="F25" s="11" t="s">
        <v>67</v>
      </c>
      <c r="G25" s="11">
        <v>25</v>
      </c>
      <c r="H25" s="11" t="s">
        <v>73</v>
      </c>
      <c r="I25" s="11">
        <v>0</v>
      </c>
      <c r="J25" s="12">
        <v>0</v>
      </c>
      <c r="K25" s="11">
        <v>10</v>
      </c>
      <c r="L25" s="11">
        <v>35</v>
      </c>
      <c r="M25" s="11">
        <v>1</v>
      </c>
      <c r="N25" s="11" t="s">
        <v>69</v>
      </c>
      <c r="O25" s="11" t="s">
        <v>48</v>
      </c>
      <c r="P25" s="11">
        <v>28.56</v>
      </c>
      <c r="Q25" s="11">
        <v>3.5</v>
      </c>
    </row>
    <row r="26" ht="15.75" spans="2:17">
      <c r="B26" s="10">
        <v>21</v>
      </c>
      <c r="C26" s="11" t="s">
        <v>94</v>
      </c>
      <c r="D26" s="11">
        <v>6845</v>
      </c>
      <c r="E26" s="11" t="s">
        <v>88</v>
      </c>
      <c r="F26" s="11" t="s">
        <v>67</v>
      </c>
      <c r="G26" s="11">
        <v>25</v>
      </c>
      <c r="H26" s="11" t="s">
        <v>68</v>
      </c>
      <c r="I26" s="11">
        <v>334</v>
      </c>
      <c r="J26" s="12">
        <v>0.305555555555556</v>
      </c>
      <c r="K26" s="11">
        <v>20</v>
      </c>
      <c r="L26" s="11">
        <v>170</v>
      </c>
      <c r="M26" s="11">
        <v>0.7</v>
      </c>
      <c r="N26" s="11" t="s">
        <v>69</v>
      </c>
      <c r="O26" s="11" t="s">
        <v>48</v>
      </c>
      <c r="P26" s="11">
        <v>28.56</v>
      </c>
      <c r="Q26" s="11">
        <v>2.5</v>
      </c>
    </row>
    <row r="27" ht="15.75" spans="2:17">
      <c r="B27" s="10">
        <v>22</v>
      </c>
      <c r="C27" s="11" t="s">
        <v>95</v>
      </c>
      <c r="D27" s="11">
        <v>6850</v>
      </c>
      <c r="E27" s="11" t="s">
        <v>88</v>
      </c>
      <c r="F27" s="11" t="s">
        <v>67</v>
      </c>
      <c r="G27" s="11">
        <v>30</v>
      </c>
      <c r="H27" s="11" t="s">
        <v>68</v>
      </c>
      <c r="I27" s="11">
        <v>214</v>
      </c>
      <c r="J27" s="12">
        <v>0.375</v>
      </c>
      <c r="K27" s="11">
        <v>30</v>
      </c>
      <c r="L27" s="11">
        <v>30</v>
      </c>
      <c r="M27" s="11">
        <v>0.7</v>
      </c>
      <c r="N27" s="11" t="s">
        <v>69</v>
      </c>
      <c r="O27" s="11" t="s">
        <v>48</v>
      </c>
      <c r="P27" s="11">
        <v>28.56</v>
      </c>
      <c r="Q27" s="11">
        <v>2.5</v>
      </c>
    </row>
    <row r="28" ht="15.75" spans="2:17">
      <c r="B28" s="10">
        <v>23</v>
      </c>
      <c r="C28" s="11" t="s">
        <v>96</v>
      </c>
      <c r="D28" s="11">
        <v>6860</v>
      </c>
      <c r="E28" s="11" t="s">
        <v>88</v>
      </c>
      <c r="F28" s="11" t="s">
        <v>67</v>
      </c>
      <c r="G28" s="11">
        <v>40</v>
      </c>
      <c r="H28" s="11" t="s">
        <v>68</v>
      </c>
      <c r="I28" s="11">
        <v>90</v>
      </c>
      <c r="J28" s="12">
        <v>0.447916666666667</v>
      </c>
      <c r="K28" s="11">
        <v>40</v>
      </c>
      <c r="L28" s="11">
        <v>130</v>
      </c>
      <c r="M28" s="11">
        <v>1.5</v>
      </c>
      <c r="N28" s="11" t="s">
        <v>69</v>
      </c>
      <c r="O28" s="11" t="s">
        <v>48</v>
      </c>
      <c r="P28" s="11">
        <v>28.56</v>
      </c>
      <c r="Q28" s="11">
        <v>5.3</v>
      </c>
    </row>
    <row r="29" ht="15.75" spans="2:17">
      <c r="B29" s="10">
        <v>24</v>
      </c>
      <c r="C29" s="11" t="s">
        <v>97</v>
      </c>
      <c r="D29" s="11">
        <v>8260</v>
      </c>
      <c r="E29" s="11" t="s">
        <v>98</v>
      </c>
      <c r="F29" s="11" t="s">
        <v>67</v>
      </c>
      <c r="G29" s="11">
        <v>850</v>
      </c>
      <c r="H29" s="11" t="s">
        <v>68</v>
      </c>
      <c r="I29" s="11">
        <v>269</v>
      </c>
      <c r="J29" s="12">
        <v>0.34375</v>
      </c>
      <c r="K29" s="11">
        <v>35</v>
      </c>
      <c r="L29" s="11">
        <v>55</v>
      </c>
      <c r="M29" s="11">
        <v>1.5</v>
      </c>
      <c r="N29" s="11" t="s">
        <v>69</v>
      </c>
      <c r="O29" s="11" t="s">
        <v>48</v>
      </c>
      <c r="P29" s="11">
        <v>28.56</v>
      </c>
      <c r="Q29" s="11">
        <v>5.3</v>
      </c>
    </row>
    <row r="30" ht="15.75" spans="2:17">
      <c r="B30" s="10">
        <v>25</v>
      </c>
      <c r="C30" s="11" t="s">
        <v>99</v>
      </c>
      <c r="D30" s="11">
        <v>8950</v>
      </c>
      <c r="E30" s="11" t="s">
        <v>100</v>
      </c>
      <c r="F30" s="11">
        <v>1160</v>
      </c>
      <c r="G30" s="11" t="s">
        <v>67</v>
      </c>
      <c r="H30" s="11" t="s">
        <v>73</v>
      </c>
      <c r="I30" s="11">
        <v>359</v>
      </c>
      <c r="J30" s="12">
        <v>0.209027777777778</v>
      </c>
      <c r="K30" s="11">
        <v>55</v>
      </c>
      <c r="L30" s="11">
        <v>20</v>
      </c>
      <c r="M30" s="11">
        <v>1.5</v>
      </c>
      <c r="N30" s="11" t="s">
        <v>69</v>
      </c>
      <c r="O30" s="11" t="s">
        <v>48</v>
      </c>
      <c r="P30" s="11">
        <v>28.56</v>
      </c>
      <c r="Q30" s="11">
        <v>5.3</v>
      </c>
    </row>
    <row r="31" ht="15.75" spans="2:17">
      <c r="B31" s="10">
        <v>26</v>
      </c>
      <c r="C31" s="11" t="s">
        <v>101</v>
      </c>
      <c r="D31" s="11">
        <v>9480</v>
      </c>
      <c r="E31" s="11" t="s">
        <v>100</v>
      </c>
      <c r="F31" s="11">
        <v>630</v>
      </c>
      <c r="G31" s="11" t="s">
        <v>67</v>
      </c>
      <c r="H31" s="11" t="s">
        <v>73</v>
      </c>
      <c r="I31" s="11">
        <v>349</v>
      </c>
      <c r="J31" s="12">
        <v>0.202777777777778</v>
      </c>
      <c r="K31" s="11">
        <v>50</v>
      </c>
      <c r="L31" s="11">
        <v>50</v>
      </c>
      <c r="M31" s="11">
        <v>2.5</v>
      </c>
      <c r="N31" s="11" t="s">
        <v>69</v>
      </c>
      <c r="O31" s="11" t="s">
        <v>48</v>
      </c>
      <c r="P31" s="11">
        <v>28.56</v>
      </c>
      <c r="Q31" s="11">
        <v>8.8</v>
      </c>
    </row>
    <row r="32" ht="15.75" spans="2:17">
      <c r="B32" s="10">
        <v>27</v>
      </c>
      <c r="C32" s="11" t="s">
        <v>102</v>
      </c>
      <c r="D32" s="11">
        <v>10070</v>
      </c>
      <c r="E32" s="11" t="s">
        <v>100</v>
      </c>
      <c r="F32" s="11">
        <v>40</v>
      </c>
      <c r="G32" s="11" t="s">
        <v>67</v>
      </c>
      <c r="H32" s="11" t="s">
        <v>73</v>
      </c>
      <c r="I32" s="11">
        <v>0</v>
      </c>
      <c r="J32" s="12">
        <v>0</v>
      </c>
      <c r="K32" s="11">
        <v>160</v>
      </c>
      <c r="L32" s="11">
        <v>858</v>
      </c>
      <c r="M32" s="11">
        <v>4</v>
      </c>
      <c r="N32" s="11" t="s">
        <v>69</v>
      </c>
      <c r="O32" s="11" t="s">
        <v>48</v>
      </c>
      <c r="P32" s="11">
        <v>28.56</v>
      </c>
      <c r="Q32" s="11">
        <v>14</v>
      </c>
    </row>
    <row r="33" ht="15.75" spans="2:17">
      <c r="B33" s="10">
        <v>28</v>
      </c>
      <c r="C33" s="11" t="s">
        <v>103</v>
      </c>
      <c r="D33" s="11">
        <v>12130</v>
      </c>
      <c r="E33" s="11" t="s">
        <v>104</v>
      </c>
      <c r="F33" s="11" t="s">
        <v>67</v>
      </c>
      <c r="G33" s="11">
        <v>60</v>
      </c>
      <c r="H33" s="11" t="s">
        <v>73</v>
      </c>
      <c r="I33" s="11">
        <v>429</v>
      </c>
      <c r="J33" s="12">
        <v>0.25</v>
      </c>
      <c r="K33" s="11">
        <v>50</v>
      </c>
      <c r="L33" s="11">
        <v>100</v>
      </c>
      <c r="M33" s="11">
        <v>0.5</v>
      </c>
      <c r="N33" s="11" t="s">
        <v>69</v>
      </c>
      <c r="O33" s="11" t="s">
        <v>48</v>
      </c>
      <c r="P33" s="11">
        <v>28.56</v>
      </c>
      <c r="Q33" s="11">
        <v>1.8</v>
      </c>
    </row>
    <row r="34" ht="15.75" spans="2:17">
      <c r="B34" s="10">
        <v>29</v>
      </c>
      <c r="C34" s="11" t="s">
        <v>105</v>
      </c>
      <c r="D34" s="11">
        <v>12750</v>
      </c>
      <c r="E34" s="11" t="s">
        <v>106</v>
      </c>
      <c r="F34" s="11" t="s">
        <v>67</v>
      </c>
      <c r="G34" s="11">
        <v>90</v>
      </c>
      <c r="H34" s="11" t="s">
        <v>73</v>
      </c>
      <c r="I34" s="11">
        <v>0</v>
      </c>
      <c r="J34" s="12">
        <v>0</v>
      </c>
      <c r="K34" s="11">
        <v>25</v>
      </c>
      <c r="L34" s="11">
        <v>15</v>
      </c>
      <c r="M34" s="11">
        <v>0.5</v>
      </c>
      <c r="N34" s="11" t="s">
        <v>69</v>
      </c>
      <c r="O34" s="11" t="s">
        <v>48</v>
      </c>
      <c r="P34" s="11">
        <v>28.56</v>
      </c>
      <c r="Q34" s="11">
        <v>1.8</v>
      </c>
    </row>
    <row r="35" ht="15.75" spans="2:17">
      <c r="B35" s="10">
        <v>30</v>
      </c>
      <c r="C35" s="11" t="s">
        <v>107</v>
      </c>
      <c r="D35" s="11">
        <v>13230</v>
      </c>
      <c r="E35" s="11" t="s">
        <v>108</v>
      </c>
      <c r="F35" s="11" t="s">
        <v>67</v>
      </c>
      <c r="G35" s="11">
        <v>130</v>
      </c>
      <c r="H35" s="11" t="s">
        <v>68</v>
      </c>
      <c r="I35" s="11">
        <v>130</v>
      </c>
      <c r="J35" s="12">
        <v>0.424305555555556</v>
      </c>
      <c r="K35" s="11">
        <v>20</v>
      </c>
      <c r="L35" s="11">
        <v>45</v>
      </c>
      <c r="M35" s="11">
        <v>1</v>
      </c>
      <c r="N35" s="11" t="s">
        <v>69</v>
      </c>
      <c r="O35" s="11" t="s">
        <v>48</v>
      </c>
      <c r="P35" s="11">
        <v>28.56</v>
      </c>
      <c r="Q35" s="11">
        <v>3.5</v>
      </c>
    </row>
  </sheetData>
  <mergeCells count="9">
    <mergeCell ref="B2:B5"/>
    <mergeCell ref="E2:E5"/>
    <mergeCell ref="F4:F5"/>
    <mergeCell ref="G4:G5"/>
    <mergeCell ref="J4:J5"/>
    <mergeCell ref="N2:N5"/>
    <mergeCell ref="F2:G3"/>
    <mergeCell ref="H2:J3"/>
    <mergeCell ref="K2:M3"/>
  </mergeCells>
  <pageMargins left="0.75" right="0.75" top="1" bottom="1" header="0.511805555555556" footer="0.511805555555556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B1:B5"/>
  <sheetViews>
    <sheetView tabSelected="1" workbookViewId="0">
      <selection activeCell="AI7" sqref="AI7"/>
    </sheetView>
  </sheetViews>
  <sheetFormatPr defaultColWidth="2.71428571428571" defaultRowHeight="14.25" customHeight="1" outlineLevelRow="4" outlineLevelCol="1"/>
  <cols>
    <col min="1" max="16384" width="2.71428571428571" customWidth="1"/>
  </cols>
  <sheetData>
    <row r="1" customHeight="1" spans="2:2">
      <c r="B1" t="s">
        <v>109</v>
      </c>
    </row>
    <row r="2" customHeight="1" spans="2:2">
      <c r="B2">
        <v>850</v>
      </c>
    </row>
    <row r="4" customHeight="1" spans="2:2">
      <c r="B4" t="s">
        <v>56</v>
      </c>
    </row>
    <row r="5" customHeight="1" spans="2:2">
      <c r="B5">
        <v>16416</v>
      </c>
    </row>
  </sheetData>
  <pageMargins left="0.75" right="0.75" top="1" bottom="1" header="0.511805555555556" footer="0.511805555555556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10"-FW-632-1101 S1</vt:lpstr>
      <vt:lpstr>Summary</vt:lpstr>
      <vt:lpstr>Diagram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2016-08-30T04:17:00Z</dcterms:created>
  <dcterms:modified xsi:type="dcterms:W3CDTF">2018-08-16T02:06:31Z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1033-10.2.0.7456</vt:lpwstr>
  </property>
</Properties>
</file>